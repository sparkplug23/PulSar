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GitHub\PulSar\tools\"/>
    </mc:Choice>
  </mc:AlternateContent>
  <xr:revisionPtr revIDLastSave="0" documentId="13_ncr:1_{CF4A150F-4E28-4E85-91C7-F9EA4126B5E6}" xr6:coauthVersionLast="47" xr6:coauthVersionMax="47" xr10:uidLastSave="{00000000-0000-0000-0000-000000000000}"/>
  <bookViews>
    <workbookView xWindow="13260" yWindow="6300" windowWidth="12105" windowHeight="5730" activeTab="3" xr2:uid="{00000000-000D-0000-FFFF-FFFF00000000}"/>
  </bookViews>
  <sheets>
    <sheet name="Power Ratings" sheetId="1" r:id="rId1"/>
    <sheet name="Device Template" sheetId="2" r:id="rId2"/>
    <sheet name="Instructions" sheetId="3" r:id="rId3"/>
    <sheet name="esp32s3 x1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4" l="1"/>
  <c r="F40" i="4"/>
  <c r="E40" i="4"/>
  <c r="K40" i="4" s="1"/>
  <c r="F39" i="4"/>
  <c r="E39" i="4"/>
  <c r="K39" i="4" s="1"/>
  <c r="F38" i="4"/>
  <c r="E38" i="4"/>
  <c r="H38" i="4" s="1"/>
  <c r="F37" i="4"/>
  <c r="E37" i="4"/>
  <c r="K37" i="4" s="1"/>
  <c r="F36" i="4"/>
  <c r="E36" i="4"/>
  <c r="K36" i="4" s="1"/>
  <c r="F35" i="4"/>
  <c r="E35" i="4"/>
  <c r="K35" i="4" s="1"/>
  <c r="F34" i="4"/>
  <c r="E34" i="4"/>
  <c r="H34" i="4" s="1"/>
  <c r="F33" i="4"/>
  <c r="L33" i="4" s="1"/>
  <c r="E33" i="4"/>
  <c r="K33" i="4" s="1"/>
  <c r="F32" i="4"/>
  <c r="E32" i="4"/>
  <c r="H32" i="4" s="1"/>
  <c r="F31" i="4"/>
  <c r="E31" i="4"/>
  <c r="K31" i="4" s="1"/>
  <c r="F30" i="4"/>
  <c r="E30" i="4"/>
  <c r="H30" i="4" s="1"/>
  <c r="F29" i="4"/>
  <c r="E29" i="4"/>
  <c r="K29" i="4" s="1"/>
  <c r="F28" i="4"/>
  <c r="E28" i="4"/>
  <c r="H28" i="4" s="1"/>
  <c r="F27" i="4"/>
  <c r="E27" i="4"/>
  <c r="K27" i="4" s="1"/>
  <c r="F26" i="4"/>
  <c r="E26" i="4"/>
  <c r="H26" i="4" s="1"/>
  <c r="F25" i="4"/>
  <c r="L25" i="4" s="1"/>
  <c r="E25" i="4"/>
  <c r="K25" i="4" s="1"/>
  <c r="F24" i="4"/>
  <c r="E24" i="4"/>
  <c r="H24" i="4" s="1"/>
  <c r="F23" i="4"/>
  <c r="E23" i="4"/>
  <c r="K23" i="4" s="1"/>
  <c r="F22" i="4"/>
  <c r="E22" i="4"/>
  <c r="H22" i="4" s="1"/>
  <c r="F21" i="4"/>
  <c r="E21" i="4"/>
  <c r="K21" i="4" s="1"/>
  <c r="F20" i="4"/>
  <c r="E20" i="4"/>
  <c r="H20" i="4" s="1"/>
  <c r="F19" i="4"/>
  <c r="E19" i="4"/>
  <c r="K19" i="4" s="1"/>
  <c r="F18" i="4"/>
  <c r="E18" i="4"/>
  <c r="K18" i="4" s="1"/>
  <c r="F17" i="4"/>
  <c r="L17" i="4" s="1"/>
  <c r="E17" i="4"/>
  <c r="K17" i="4" s="1"/>
  <c r="F16" i="4"/>
  <c r="E16" i="4"/>
  <c r="H16" i="4" s="1"/>
  <c r="F15" i="4"/>
  <c r="E15" i="4"/>
  <c r="K15" i="4" s="1"/>
  <c r="F14" i="4"/>
  <c r="E14" i="4"/>
  <c r="H14" i="4" s="1"/>
  <c r="F13" i="4"/>
  <c r="E13" i="4"/>
  <c r="K13" i="4" s="1"/>
  <c r="F12" i="4"/>
  <c r="E12" i="4"/>
  <c r="H12" i="4" s="1"/>
  <c r="F11" i="4"/>
  <c r="E11" i="4"/>
  <c r="K11" i="4" s="1"/>
  <c r="F10" i="4"/>
  <c r="E10" i="4"/>
  <c r="H10" i="4" s="1"/>
  <c r="F9" i="4"/>
  <c r="L9" i="4" s="1"/>
  <c r="E9" i="4"/>
  <c r="K9" i="4" s="1"/>
  <c r="K47" i="2"/>
  <c r="F40" i="2"/>
  <c r="E40" i="2"/>
  <c r="F39" i="2"/>
  <c r="E39" i="2"/>
  <c r="K39" i="2" s="1"/>
  <c r="H38" i="2"/>
  <c r="G38" i="2"/>
  <c r="F38" i="2"/>
  <c r="E38" i="2"/>
  <c r="J37" i="2"/>
  <c r="F37" i="2"/>
  <c r="E37" i="2"/>
  <c r="K37" i="2" s="1"/>
  <c r="F36" i="2"/>
  <c r="E36" i="2"/>
  <c r="H36" i="2" s="1"/>
  <c r="K35" i="2"/>
  <c r="L35" i="2" s="1"/>
  <c r="J35" i="2"/>
  <c r="F35" i="2"/>
  <c r="E35" i="2"/>
  <c r="I35" i="2" s="1"/>
  <c r="F34" i="2"/>
  <c r="E34" i="2"/>
  <c r="K33" i="2"/>
  <c r="J33" i="2"/>
  <c r="I33" i="2"/>
  <c r="H33" i="2"/>
  <c r="G33" i="2"/>
  <c r="F33" i="2"/>
  <c r="E33" i="2"/>
  <c r="F32" i="2"/>
  <c r="E32" i="2"/>
  <c r="F31" i="2"/>
  <c r="E31" i="2"/>
  <c r="J31" i="2" s="1"/>
  <c r="H30" i="2"/>
  <c r="G30" i="2"/>
  <c r="F30" i="2"/>
  <c r="E30" i="2"/>
  <c r="J29" i="2"/>
  <c r="F29" i="2"/>
  <c r="E29" i="2"/>
  <c r="K29" i="2" s="1"/>
  <c r="F28" i="2"/>
  <c r="E28" i="2"/>
  <c r="H28" i="2" s="1"/>
  <c r="K27" i="2"/>
  <c r="J27" i="2"/>
  <c r="F27" i="2"/>
  <c r="L27" i="2" s="1"/>
  <c r="E27" i="2"/>
  <c r="I27" i="2" s="1"/>
  <c r="F26" i="2"/>
  <c r="E26" i="2"/>
  <c r="K25" i="2"/>
  <c r="J25" i="2"/>
  <c r="I25" i="2"/>
  <c r="H25" i="2"/>
  <c r="G25" i="2"/>
  <c r="F25" i="2"/>
  <c r="E25" i="2"/>
  <c r="F24" i="2"/>
  <c r="E24" i="2"/>
  <c r="F23" i="2"/>
  <c r="E23" i="2"/>
  <c r="K23" i="2" s="1"/>
  <c r="H22" i="2"/>
  <c r="G22" i="2"/>
  <c r="F22" i="2"/>
  <c r="E22" i="2"/>
  <c r="J21" i="2"/>
  <c r="F21" i="2"/>
  <c r="E21" i="2"/>
  <c r="K21" i="2" s="1"/>
  <c r="F20" i="2"/>
  <c r="E20" i="2"/>
  <c r="H20" i="2" s="1"/>
  <c r="K19" i="2"/>
  <c r="J19" i="2"/>
  <c r="F19" i="2"/>
  <c r="E19" i="2"/>
  <c r="I19" i="2" s="1"/>
  <c r="F18" i="2"/>
  <c r="E18" i="2"/>
  <c r="K17" i="2"/>
  <c r="J17" i="2"/>
  <c r="I17" i="2"/>
  <c r="H17" i="2"/>
  <c r="G17" i="2"/>
  <c r="F17" i="2"/>
  <c r="E17" i="2"/>
  <c r="F16" i="2"/>
  <c r="E16" i="2"/>
  <c r="F15" i="2"/>
  <c r="E15" i="2"/>
  <c r="K15" i="2" s="1"/>
  <c r="H14" i="2"/>
  <c r="G14" i="2"/>
  <c r="F14" i="2"/>
  <c r="E14" i="2"/>
  <c r="J13" i="2"/>
  <c r="F13" i="2"/>
  <c r="E13" i="2"/>
  <c r="K13" i="2" s="1"/>
  <c r="F12" i="2"/>
  <c r="E12" i="2"/>
  <c r="K11" i="2"/>
  <c r="L11" i="2" s="1"/>
  <c r="J11" i="2"/>
  <c r="F11" i="2"/>
  <c r="E11" i="2"/>
  <c r="I11" i="2" s="1"/>
  <c r="G10" i="2"/>
  <c r="F10" i="2"/>
  <c r="E10" i="2"/>
  <c r="K9" i="2"/>
  <c r="J9" i="2"/>
  <c r="I9" i="2"/>
  <c r="H9" i="2"/>
  <c r="G9" i="2"/>
  <c r="F9" i="2"/>
  <c r="E9" i="2"/>
  <c r="R104" i="1"/>
  <c r="W104" i="1" s="1"/>
  <c r="Q104" i="1"/>
  <c r="V104" i="1" s="1"/>
  <c r="P104" i="1"/>
  <c r="U104" i="1" s="1"/>
  <c r="O104" i="1"/>
  <c r="T104" i="1" s="1"/>
  <c r="N104" i="1"/>
  <c r="S104" i="1" s="1"/>
  <c r="W103" i="1"/>
  <c r="V103" i="1"/>
  <c r="U103" i="1"/>
  <c r="T103" i="1"/>
  <c r="R103" i="1"/>
  <c r="Q103" i="1"/>
  <c r="P103" i="1"/>
  <c r="O103" i="1"/>
  <c r="N103" i="1"/>
  <c r="S103" i="1" s="1"/>
  <c r="R102" i="1"/>
  <c r="W102" i="1" s="1"/>
  <c r="Q102" i="1"/>
  <c r="V102" i="1" s="1"/>
  <c r="P102" i="1"/>
  <c r="U102" i="1" s="1"/>
  <c r="O102" i="1"/>
  <c r="T102" i="1" s="1"/>
  <c r="N102" i="1"/>
  <c r="S102" i="1" s="1"/>
  <c r="S101" i="1"/>
  <c r="R101" i="1"/>
  <c r="W101" i="1" s="1"/>
  <c r="Q101" i="1"/>
  <c r="V101" i="1" s="1"/>
  <c r="P101" i="1"/>
  <c r="U101" i="1" s="1"/>
  <c r="O101" i="1"/>
  <c r="T101" i="1" s="1"/>
  <c r="N101" i="1"/>
  <c r="U100" i="1"/>
  <c r="T100" i="1"/>
  <c r="S100" i="1"/>
  <c r="R100" i="1"/>
  <c r="W100" i="1" s="1"/>
  <c r="Q100" i="1"/>
  <c r="V100" i="1" s="1"/>
  <c r="P100" i="1"/>
  <c r="O100" i="1"/>
  <c r="N100" i="1"/>
  <c r="W99" i="1"/>
  <c r="V99" i="1"/>
  <c r="R99" i="1"/>
  <c r="Q99" i="1"/>
  <c r="P99" i="1"/>
  <c r="U99" i="1" s="1"/>
  <c r="O99" i="1"/>
  <c r="T99" i="1" s="1"/>
  <c r="N99" i="1"/>
  <c r="S99" i="1" s="1"/>
  <c r="W98" i="1"/>
  <c r="U98" i="1"/>
  <c r="R98" i="1"/>
  <c r="Q98" i="1"/>
  <c r="V98" i="1" s="1"/>
  <c r="P98" i="1"/>
  <c r="O98" i="1"/>
  <c r="T98" i="1" s="1"/>
  <c r="N98" i="1"/>
  <c r="S98" i="1" s="1"/>
  <c r="S97" i="1"/>
  <c r="R97" i="1"/>
  <c r="W97" i="1" s="1"/>
  <c r="Q97" i="1"/>
  <c r="V97" i="1" s="1"/>
  <c r="P97" i="1"/>
  <c r="U97" i="1" s="1"/>
  <c r="O97" i="1"/>
  <c r="T97" i="1" s="1"/>
  <c r="N97" i="1"/>
  <c r="U96" i="1"/>
  <c r="T96" i="1"/>
  <c r="S96" i="1"/>
  <c r="R96" i="1"/>
  <c r="W96" i="1" s="1"/>
  <c r="Q96" i="1"/>
  <c r="V96" i="1" s="1"/>
  <c r="P96" i="1"/>
  <c r="O96" i="1"/>
  <c r="N96" i="1"/>
  <c r="W95" i="1"/>
  <c r="V95" i="1"/>
  <c r="U95" i="1"/>
  <c r="R95" i="1"/>
  <c r="Q95" i="1"/>
  <c r="P95" i="1"/>
  <c r="O95" i="1"/>
  <c r="T95" i="1" s="1"/>
  <c r="N95" i="1"/>
  <c r="S95" i="1" s="1"/>
  <c r="W94" i="1"/>
  <c r="U94" i="1"/>
  <c r="T94" i="1"/>
  <c r="R94" i="1"/>
  <c r="Q94" i="1"/>
  <c r="V94" i="1" s="1"/>
  <c r="P94" i="1"/>
  <c r="O94" i="1"/>
  <c r="N94" i="1"/>
  <c r="S94" i="1" s="1"/>
  <c r="W93" i="1"/>
  <c r="R93" i="1"/>
  <c r="Q93" i="1"/>
  <c r="V93" i="1" s="1"/>
  <c r="P93" i="1"/>
  <c r="U93" i="1" s="1"/>
  <c r="O93" i="1"/>
  <c r="T93" i="1" s="1"/>
  <c r="N93" i="1"/>
  <c r="S93" i="1" s="1"/>
  <c r="V92" i="1"/>
  <c r="U92" i="1"/>
  <c r="T92" i="1"/>
  <c r="S92" i="1"/>
  <c r="R92" i="1"/>
  <c r="W92" i="1" s="1"/>
  <c r="Q92" i="1"/>
  <c r="P92" i="1"/>
  <c r="O92" i="1"/>
  <c r="N92" i="1"/>
  <c r="T91" i="1"/>
  <c r="S91" i="1"/>
  <c r="R91" i="1"/>
  <c r="W91" i="1" s="1"/>
  <c r="Q91" i="1"/>
  <c r="V91" i="1" s="1"/>
  <c r="P91" i="1"/>
  <c r="U91" i="1" s="1"/>
  <c r="O91" i="1"/>
  <c r="N91" i="1"/>
  <c r="W90" i="1"/>
  <c r="V90" i="1"/>
  <c r="R90" i="1"/>
  <c r="Q90" i="1"/>
  <c r="P90" i="1"/>
  <c r="U90" i="1" s="1"/>
  <c r="O90" i="1"/>
  <c r="T90" i="1" s="1"/>
  <c r="N90" i="1"/>
  <c r="S90" i="1" s="1"/>
  <c r="V89" i="1"/>
  <c r="U89" i="1"/>
  <c r="T89" i="1"/>
  <c r="S89" i="1"/>
  <c r="R89" i="1"/>
  <c r="W89" i="1" s="1"/>
  <c r="Q89" i="1"/>
  <c r="P89" i="1"/>
  <c r="O89" i="1"/>
  <c r="N89" i="1"/>
  <c r="R88" i="1"/>
  <c r="W88" i="1" s="1"/>
  <c r="Q88" i="1"/>
  <c r="V88" i="1" s="1"/>
  <c r="P88" i="1"/>
  <c r="U88" i="1" s="1"/>
  <c r="O88" i="1"/>
  <c r="T88" i="1" s="1"/>
  <c r="N88" i="1"/>
  <c r="S88" i="1" s="1"/>
  <c r="W87" i="1"/>
  <c r="V87" i="1"/>
  <c r="U87" i="1"/>
  <c r="T87" i="1"/>
  <c r="S87" i="1"/>
  <c r="R87" i="1"/>
  <c r="Q87" i="1"/>
  <c r="P87" i="1"/>
  <c r="O87" i="1"/>
  <c r="N87" i="1"/>
  <c r="R86" i="1"/>
  <c r="W86" i="1" s="1"/>
  <c r="Q86" i="1"/>
  <c r="V86" i="1" s="1"/>
  <c r="P86" i="1"/>
  <c r="U86" i="1" s="1"/>
  <c r="O86" i="1"/>
  <c r="T86" i="1" s="1"/>
  <c r="N86" i="1"/>
  <c r="S86" i="1" s="1"/>
  <c r="W85" i="1"/>
  <c r="R85" i="1"/>
  <c r="Q85" i="1"/>
  <c r="V85" i="1" s="1"/>
  <c r="P85" i="1"/>
  <c r="U85" i="1" s="1"/>
  <c r="O85" i="1"/>
  <c r="T85" i="1" s="1"/>
  <c r="N85" i="1"/>
  <c r="S85" i="1" s="1"/>
  <c r="U84" i="1"/>
  <c r="T84" i="1"/>
  <c r="S84" i="1"/>
  <c r="R84" i="1"/>
  <c r="W84" i="1" s="1"/>
  <c r="Q84" i="1"/>
  <c r="V84" i="1" s="1"/>
  <c r="P84" i="1"/>
  <c r="O84" i="1"/>
  <c r="N84" i="1"/>
  <c r="R83" i="1"/>
  <c r="W83" i="1" s="1"/>
  <c r="Q83" i="1"/>
  <c r="V83" i="1" s="1"/>
  <c r="P83" i="1"/>
  <c r="U83" i="1" s="1"/>
  <c r="O83" i="1"/>
  <c r="T83" i="1" s="1"/>
  <c r="N83" i="1"/>
  <c r="S83" i="1" s="1"/>
  <c r="W82" i="1"/>
  <c r="V82" i="1"/>
  <c r="U82" i="1"/>
  <c r="R82" i="1"/>
  <c r="Q82" i="1"/>
  <c r="P82" i="1"/>
  <c r="O82" i="1"/>
  <c r="T82" i="1" s="1"/>
  <c r="N82" i="1"/>
  <c r="S82" i="1" s="1"/>
  <c r="S81" i="1"/>
  <c r="R81" i="1"/>
  <c r="W81" i="1" s="1"/>
  <c r="Q81" i="1"/>
  <c r="V81" i="1" s="1"/>
  <c r="P81" i="1"/>
  <c r="U81" i="1" s="1"/>
  <c r="O81" i="1"/>
  <c r="T81" i="1" s="1"/>
  <c r="N81" i="1"/>
  <c r="U80" i="1"/>
  <c r="S80" i="1"/>
  <c r="R80" i="1"/>
  <c r="W80" i="1" s="1"/>
  <c r="Q80" i="1"/>
  <c r="V80" i="1" s="1"/>
  <c r="P80" i="1"/>
  <c r="O80" i="1"/>
  <c r="T80" i="1" s="1"/>
  <c r="N80" i="1"/>
  <c r="W79" i="1"/>
  <c r="V79" i="1"/>
  <c r="U79" i="1"/>
  <c r="R79" i="1"/>
  <c r="Q79" i="1"/>
  <c r="P79" i="1"/>
  <c r="O79" i="1"/>
  <c r="T79" i="1" s="1"/>
  <c r="N79" i="1"/>
  <c r="S79" i="1" s="1"/>
  <c r="W78" i="1"/>
  <c r="V78" i="1"/>
  <c r="R78" i="1"/>
  <c r="Q78" i="1"/>
  <c r="P78" i="1"/>
  <c r="U78" i="1" s="1"/>
  <c r="O78" i="1"/>
  <c r="T78" i="1" s="1"/>
  <c r="N78" i="1"/>
  <c r="S78" i="1" s="1"/>
  <c r="R77" i="1"/>
  <c r="W77" i="1" s="1"/>
  <c r="Q77" i="1"/>
  <c r="V77" i="1" s="1"/>
  <c r="P77" i="1"/>
  <c r="U77" i="1" s="1"/>
  <c r="O77" i="1"/>
  <c r="T77" i="1" s="1"/>
  <c r="N77" i="1"/>
  <c r="S77" i="1" s="1"/>
  <c r="W76" i="1"/>
  <c r="U76" i="1"/>
  <c r="T76" i="1"/>
  <c r="S76" i="1"/>
  <c r="R76" i="1"/>
  <c r="Q76" i="1"/>
  <c r="V76" i="1" s="1"/>
  <c r="P76" i="1"/>
  <c r="O76" i="1"/>
  <c r="N76" i="1"/>
  <c r="V75" i="1"/>
  <c r="U75" i="1"/>
  <c r="T75" i="1"/>
  <c r="R75" i="1"/>
  <c r="W75" i="1" s="1"/>
  <c r="Q75" i="1"/>
  <c r="P75" i="1"/>
  <c r="O75" i="1"/>
  <c r="N75" i="1"/>
  <c r="S75" i="1" s="1"/>
  <c r="W74" i="1"/>
  <c r="R74" i="1"/>
  <c r="Q74" i="1"/>
  <c r="V74" i="1" s="1"/>
  <c r="P74" i="1"/>
  <c r="U74" i="1" s="1"/>
  <c r="O74" i="1"/>
  <c r="T74" i="1" s="1"/>
  <c r="N74" i="1"/>
  <c r="S74" i="1" s="1"/>
  <c r="W73" i="1"/>
  <c r="V73" i="1"/>
  <c r="T73" i="1"/>
  <c r="S73" i="1"/>
  <c r="R73" i="1"/>
  <c r="Q73" i="1"/>
  <c r="P73" i="1"/>
  <c r="U73" i="1" s="1"/>
  <c r="O73" i="1"/>
  <c r="N73" i="1"/>
  <c r="R72" i="1"/>
  <c r="W72" i="1" s="1"/>
  <c r="Q72" i="1"/>
  <c r="V72" i="1" s="1"/>
  <c r="P72" i="1"/>
  <c r="U72" i="1" s="1"/>
  <c r="O72" i="1"/>
  <c r="T72" i="1" s="1"/>
  <c r="N72" i="1"/>
  <c r="S72" i="1" s="1"/>
  <c r="W71" i="1"/>
  <c r="V71" i="1"/>
  <c r="U71" i="1"/>
  <c r="R71" i="1"/>
  <c r="Q71" i="1"/>
  <c r="P71" i="1"/>
  <c r="O71" i="1"/>
  <c r="T71" i="1" s="1"/>
  <c r="N71" i="1"/>
  <c r="S71" i="1" s="1"/>
  <c r="T70" i="1"/>
  <c r="S70" i="1"/>
  <c r="R70" i="1"/>
  <c r="W70" i="1" s="1"/>
  <c r="Q70" i="1"/>
  <c r="V70" i="1" s="1"/>
  <c r="P70" i="1"/>
  <c r="U70" i="1" s="1"/>
  <c r="O70" i="1"/>
  <c r="N70" i="1"/>
  <c r="R69" i="1"/>
  <c r="W69" i="1" s="1"/>
  <c r="Q69" i="1"/>
  <c r="V69" i="1" s="1"/>
  <c r="P69" i="1"/>
  <c r="U69" i="1" s="1"/>
  <c r="O69" i="1"/>
  <c r="T69" i="1" s="1"/>
  <c r="N69" i="1"/>
  <c r="S69" i="1" s="1"/>
  <c r="U68" i="1"/>
  <c r="T68" i="1"/>
  <c r="S68" i="1"/>
  <c r="R68" i="1"/>
  <c r="W68" i="1" s="1"/>
  <c r="Q68" i="1"/>
  <c r="V68" i="1" s="1"/>
  <c r="P68" i="1"/>
  <c r="O68" i="1"/>
  <c r="N68" i="1"/>
  <c r="R67" i="1"/>
  <c r="W67" i="1" s="1"/>
  <c r="Q67" i="1"/>
  <c r="V67" i="1" s="1"/>
  <c r="P67" i="1"/>
  <c r="U67" i="1" s="1"/>
  <c r="O67" i="1"/>
  <c r="T67" i="1" s="1"/>
  <c r="N67" i="1"/>
  <c r="S67" i="1" s="1"/>
  <c r="W66" i="1"/>
  <c r="V66" i="1"/>
  <c r="U66" i="1"/>
  <c r="R66" i="1"/>
  <c r="Q66" i="1"/>
  <c r="P66" i="1"/>
  <c r="O66" i="1"/>
  <c r="T66" i="1" s="1"/>
  <c r="N66" i="1"/>
  <c r="S66" i="1" s="1"/>
  <c r="S65" i="1"/>
  <c r="R65" i="1"/>
  <c r="W65" i="1" s="1"/>
  <c r="Q65" i="1"/>
  <c r="V65" i="1" s="1"/>
  <c r="P65" i="1"/>
  <c r="U65" i="1" s="1"/>
  <c r="O65" i="1"/>
  <c r="T65" i="1" s="1"/>
  <c r="N65" i="1"/>
  <c r="U64" i="1"/>
  <c r="T64" i="1"/>
  <c r="R64" i="1"/>
  <c r="W64" i="1" s="1"/>
  <c r="Q64" i="1"/>
  <c r="V64" i="1" s="1"/>
  <c r="P64" i="1"/>
  <c r="O64" i="1"/>
  <c r="N64" i="1"/>
  <c r="S64" i="1" s="1"/>
  <c r="W63" i="1"/>
  <c r="V63" i="1"/>
  <c r="U63" i="1"/>
  <c r="S63" i="1"/>
  <c r="R63" i="1"/>
  <c r="Q63" i="1"/>
  <c r="P63" i="1"/>
  <c r="O63" i="1"/>
  <c r="T63" i="1" s="1"/>
  <c r="N63" i="1"/>
  <c r="R62" i="1"/>
  <c r="W62" i="1" s="1"/>
  <c r="Q62" i="1"/>
  <c r="V62" i="1" s="1"/>
  <c r="P62" i="1"/>
  <c r="U62" i="1" s="1"/>
  <c r="O62" i="1"/>
  <c r="T62" i="1" s="1"/>
  <c r="N62" i="1"/>
  <c r="S62" i="1" s="1"/>
  <c r="S61" i="1"/>
  <c r="R61" i="1"/>
  <c r="W61" i="1" s="1"/>
  <c r="Q61" i="1"/>
  <c r="V61" i="1" s="1"/>
  <c r="P61" i="1"/>
  <c r="U61" i="1" s="1"/>
  <c r="O61" i="1"/>
  <c r="T61" i="1" s="1"/>
  <c r="N61" i="1"/>
  <c r="U60" i="1"/>
  <c r="T60" i="1"/>
  <c r="S60" i="1"/>
  <c r="R60" i="1"/>
  <c r="W60" i="1" s="1"/>
  <c r="Q60" i="1"/>
  <c r="V60" i="1" s="1"/>
  <c r="P60" i="1"/>
  <c r="O60" i="1"/>
  <c r="N60" i="1"/>
  <c r="W59" i="1"/>
  <c r="V59" i="1"/>
  <c r="T59" i="1"/>
  <c r="S59" i="1"/>
  <c r="R59" i="1"/>
  <c r="Q59" i="1"/>
  <c r="P59" i="1"/>
  <c r="U59" i="1" s="1"/>
  <c r="O59" i="1"/>
  <c r="N59" i="1"/>
  <c r="W58" i="1"/>
  <c r="V58" i="1"/>
  <c r="R58" i="1"/>
  <c r="Q58" i="1"/>
  <c r="P58" i="1"/>
  <c r="U58" i="1" s="1"/>
  <c r="O58" i="1"/>
  <c r="T58" i="1" s="1"/>
  <c r="N58" i="1"/>
  <c r="S58" i="1" s="1"/>
  <c r="V57" i="1"/>
  <c r="U57" i="1"/>
  <c r="S57" i="1"/>
  <c r="R57" i="1"/>
  <c r="W57" i="1" s="1"/>
  <c r="Q57" i="1"/>
  <c r="P57" i="1"/>
  <c r="O57" i="1"/>
  <c r="T57" i="1" s="1"/>
  <c r="N57" i="1"/>
  <c r="R56" i="1"/>
  <c r="W56" i="1" s="1"/>
  <c r="Q56" i="1"/>
  <c r="V56" i="1" s="1"/>
  <c r="P56" i="1"/>
  <c r="U56" i="1" s="1"/>
  <c r="O56" i="1"/>
  <c r="T56" i="1" s="1"/>
  <c r="N56" i="1"/>
  <c r="S56" i="1" s="1"/>
  <c r="W55" i="1"/>
  <c r="V55" i="1"/>
  <c r="U55" i="1"/>
  <c r="R55" i="1"/>
  <c r="Q55" i="1"/>
  <c r="P55" i="1"/>
  <c r="O55" i="1"/>
  <c r="T55" i="1" s="1"/>
  <c r="N55" i="1"/>
  <c r="S55" i="1" s="1"/>
  <c r="V54" i="1"/>
  <c r="U54" i="1"/>
  <c r="T54" i="1"/>
  <c r="R54" i="1"/>
  <c r="W54" i="1" s="1"/>
  <c r="Q54" i="1"/>
  <c r="P54" i="1"/>
  <c r="O54" i="1"/>
  <c r="N54" i="1"/>
  <c r="S54" i="1" s="1"/>
  <c r="W53" i="1"/>
  <c r="R53" i="1"/>
  <c r="Q53" i="1"/>
  <c r="V53" i="1" s="1"/>
  <c r="P53" i="1"/>
  <c r="U53" i="1" s="1"/>
  <c r="O53" i="1"/>
  <c r="T53" i="1" s="1"/>
  <c r="N53" i="1"/>
  <c r="S53" i="1" s="1"/>
  <c r="W52" i="1"/>
  <c r="V52" i="1"/>
  <c r="U52" i="1"/>
  <c r="T52" i="1"/>
  <c r="S52" i="1"/>
  <c r="R52" i="1"/>
  <c r="Q52" i="1"/>
  <c r="P52" i="1"/>
  <c r="O52" i="1"/>
  <c r="N52" i="1"/>
  <c r="R51" i="1"/>
  <c r="W51" i="1" s="1"/>
  <c r="Q51" i="1"/>
  <c r="V51" i="1" s="1"/>
  <c r="P51" i="1"/>
  <c r="U51" i="1" s="1"/>
  <c r="O51" i="1"/>
  <c r="T51" i="1" s="1"/>
  <c r="N51" i="1"/>
  <c r="S51" i="1" s="1"/>
  <c r="W50" i="1"/>
  <c r="V50" i="1"/>
  <c r="R50" i="1"/>
  <c r="Q50" i="1"/>
  <c r="P50" i="1"/>
  <c r="U50" i="1" s="1"/>
  <c r="O50" i="1"/>
  <c r="T50" i="1" s="1"/>
  <c r="N50" i="1"/>
  <c r="S50" i="1" s="1"/>
  <c r="S49" i="1"/>
  <c r="R49" i="1"/>
  <c r="W49" i="1" s="1"/>
  <c r="Q49" i="1"/>
  <c r="V49" i="1" s="1"/>
  <c r="P49" i="1"/>
  <c r="U49" i="1" s="1"/>
  <c r="O49" i="1"/>
  <c r="T49" i="1" s="1"/>
  <c r="N49" i="1"/>
  <c r="R48" i="1"/>
  <c r="W48" i="1" s="1"/>
  <c r="Q48" i="1"/>
  <c r="V48" i="1" s="1"/>
  <c r="P48" i="1"/>
  <c r="U48" i="1" s="1"/>
  <c r="O48" i="1"/>
  <c r="T48" i="1" s="1"/>
  <c r="N48" i="1"/>
  <c r="S48" i="1" s="1"/>
  <c r="W47" i="1"/>
  <c r="V47" i="1"/>
  <c r="U47" i="1"/>
  <c r="T47" i="1"/>
  <c r="S47" i="1"/>
  <c r="R47" i="1"/>
  <c r="Q47" i="1"/>
  <c r="P47" i="1"/>
  <c r="O47" i="1"/>
  <c r="N47" i="1"/>
  <c r="R46" i="1"/>
  <c r="W46" i="1" s="1"/>
  <c r="Q46" i="1"/>
  <c r="V46" i="1" s="1"/>
  <c r="P46" i="1"/>
  <c r="U46" i="1" s="1"/>
  <c r="O46" i="1"/>
  <c r="T46" i="1" s="1"/>
  <c r="N46" i="1"/>
  <c r="S46" i="1" s="1"/>
  <c r="W45" i="1"/>
  <c r="R45" i="1"/>
  <c r="Q45" i="1"/>
  <c r="V45" i="1" s="1"/>
  <c r="P45" i="1"/>
  <c r="U45" i="1" s="1"/>
  <c r="O45" i="1"/>
  <c r="T45" i="1" s="1"/>
  <c r="N45" i="1"/>
  <c r="S45" i="1" s="1"/>
  <c r="U44" i="1"/>
  <c r="T44" i="1"/>
  <c r="S44" i="1"/>
  <c r="R44" i="1"/>
  <c r="W44" i="1" s="1"/>
  <c r="Q44" i="1"/>
  <c r="V44" i="1" s="1"/>
  <c r="P44" i="1"/>
  <c r="O44" i="1"/>
  <c r="N44" i="1"/>
  <c r="V43" i="1"/>
  <c r="U43" i="1"/>
  <c r="R43" i="1"/>
  <c r="W43" i="1" s="1"/>
  <c r="Q43" i="1"/>
  <c r="P43" i="1"/>
  <c r="O43" i="1"/>
  <c r="T43" i="1" s="1"/>
  <c r="N43" i="1"/>
  <c r="S43" i="1" s="1"/>
  <c r="W42" i="1"/>
  <c r="R42" i="1"/>
  <c r="Q42" i="1"/>
  <c r="V42" i="1" s="1"/>
  <c r="P42" i="1"/>
  <c r="U42" i="1" s="1"/>
  <c r="O42" i="1"/>
  <c r="T42" i="1" s="1"/>
  <c r="N42" i="1"/>
  <c r="S42" i="1" s="1"/>
  <c r="W41" i="1"/>
  <c r="S41" i="1"/>
  <c r="R41" i="1"/>
  <c r="Q41" i="1"/>
  <c r="V41" i="1" s="1"/>
  <c r="P41" i="1"/>
  <c r="U41" i="1" s="1"/>
  <c r="O41" i="1"/>
  <c r="T41" i="1" s="1"/>
  <c r="N41" i="1"/>
  <c r="S40" i="1"/>
  <c r="R40" i="1"/>
  <c r="W40" i="1" s="1"/>
  <c r="Q40" i="1"/>
  <c r="V40" i="1" s="1"/>
  <c r="P40" i="1"/>
  <c r="U40" i="1" s="1"/>
  <c r="O40" i="1"/>
  <c r="T40" i="1" s="1"/>
  <c r="N40" i="1"/>
  <c r="W39" i="1"/>
  <c r="V39" i="1"/>
  <c r="U39" i="1"/>
  <c r="R39" i="1"/>
  <c r="Q39" i="1"/>
  <c r="P39" i="1"/>
  <c r="O39" i="1"/>
  <c r="T39" i="1" s="1"/>
  <c r="N39" i="1"/>
  <c r="S39" i="1" s="1"/>
  <c r="W38" i="1"/>
  <c r="V38" i="1"/>
  <c r="T38" i="1"/>
  <c r="S38" i="1"/>
  <c r="R38" i="1"/>
  <c r="Q38" i="1"/>
  <c r="P38" i="1"/>
  <c r="U38" i="1" s="1"/>
  <c r="O38" i="1"/>
  <c r="N38" i="1"/>
  <c r="R37" i="1"/>
  <c r="W37" i="1" s="1"/>
  <c r="Q37" i="1"/>
  <c r="V37" i="1" s="1"/>
  <c r="P37" i="1"/>
  <c r="U37" i="1" s="1"/>
  <c r="O37" i="1"/>
  <c r="T37" i="1" s="1"/>
  <c r="N37" i="1"/>
  <c r="S37" i="1" s="1"/>
  <c r="W36" i="1"/>
  <c r="U36" i="1"/>
  <c r="T36" i="1"/>
  <c r="S36" i="1"/>
  <c r="R36" i="1"/>
  <c r="Q36" i="1"/>
  <c r="V36" i="1" s="1"/>
  <c r="P36" i="1"/>
  <c r="O36" i="1"/>
  <c r="N36" i="1"/>
  <c r="R35" i="1"/>
  <c r="W35" i="1" s="1"/>
  <c r="Q35" i="1"/>
  <c r="V35" i="1" s="1"/>
  <c r="P35" i="1"/>
  <c r="U35" i="1" s="1"/>
  <c r="O35" i="1"/>
  <c r="T35" i="1" s="1"/>
  <c r="N35" i="1"/>
  <c r="S35" i="1" s="1"/>
  <c r="W34" i="1"/>
  <c r="U34" i="1"/>
  <c r="R34" i="1"/>
  <c r="Q34" i="1"/>
  <c r="V34" i="1" s="1"/>
  <c r="P34" i="1"/>
  <c r="O34" i="1"/>
  <c r="T34" i="1" s="1"/>
  <c r="N34" i="1"/>
  <c r="S34" i="1" s="1"/>
  <c r="T33" i="1"/>
  <c r="S33" i="1"/>
  <c r="R33" i="1"/>
  <c r="W33" i="1" s="1"/>
  <c r="Q33" i="1"/>
  <c r="V33" i="1" s="1"/>
  <c r="P33" i="1"/>
  <c r="U33" i="1" s="1"/>
  <c r="O33" i="1"/>
  <c r="N33" i="1"/>
  <c r="R32" i="1"/>
  <c r="W32" i="1" s="1"/>
  <c r="Q32" i="1"/>
  <c r="V32" i="1" s="1"/>
  <c r="P32" i="1"/>
  <c r="U32" i="1" s="1"/>
  <c r="O32" i="1"/>
  <c r="T32" i="1" s="1"/>
  <c r="N32" i="1"/>
  <c r="S32" i="1" s="1"/>
  <c r="W31" i="1"/>
  <c r="V31" i="1"/>
  <c r="U31" i="1"/>
  <c r="S31" i="1"/>
  <c r="R31" i="1"/>
  <c r="Q31" i="1"/>
  <c r="P31" i="1"/>
  <c r="O31" i="1"/>
  <c r="T31" i="1" s="1"/>
  <c r="N31" i="1"/>
  <c r="R30" i="1"/>
  <c r="W30" i="1" s="1"/>
  <c r="Q30" i="1"/>
  <c r="V30" i="1" s="1"/>
  <c r="P30" i="1"/>
  <c r="U30" i="1" s="1"/>
  <c r="O30" i="1"/>
  <c r="T30" i="1" s="1"/>
  <c r="N30" i="1"/>
  <c r="S30" i="1" s="1"/>
  <c r="W29" i="1"/>
  <c r="S29" i="1"/>
  <c r="R29" i="1"/>
  <c r="Q29" i="1"/>
  <c r="V29" i="1" s="1"/>
  <c r="P29" i="1"/>
  <c r="U29" i="1" s="1"/>
  <c r="O29" i="1"/>
  <c r="T29" i="1" s="1"/>
  <c r="N29" i="1"/>
  <c r="U28" i="1"/>
  <c r="T28" i="1"/>
  <c r="S28" i="1"/>
  <c r="R28" i="1"/>
  <c r="W28" i="1" s="1"/>
  <c r="Q28" i="1"/>
  <c r="V28" i="1" s="1"/>
  <c r="P28" i="1"/>
  <c r="O28" i="1"/>
  <c r="N28" i="1"/>
  <c r="W27" i="1"/>
  <c r="R27" i="1"/>
  <c r="Q27" i="1"/>
  <c r="V27" i="1" s="1"/>
  <c r="P27" i="1"/>
  <c r="U27" i="1" s="1"/>
  <c r="O27" i="1"/>
  <c r="T27" i="1" s="1"/>
  <c r="N27" i="1"/>
  <c r="S27" i="1" s="1"/>
  <c r="W26" i="1"/>
  <c r="V26" i="1"/>
  <c r="U26" i="1"/>
  <c r="R26" i="1"/>
  <c r="Q26" i="1"/>
  <c r="P26" i="1"/>
  <c r="O26" i="1"/>
  <c r="T26" i="1" s="1"/>
  <c r="N26" i="1"/>
  <c r="S26" i="1" s="1"/>
  <c r="S25" i="1"/>
  <c r="R25" i="1"/>
  <c r="W25" i="1" s="1"/>
  <c r="Q25" i="1"/>
  <c r="V25" i="1" s="1"/>
  <c r="P25" i="1"/>
  <c r="U25" i="1" s="1"/>
  <c r="O25" i="1"/>
  <c r="T25" i="1" s="1"/>
  <c r="N25" i="1"/>
  <c r="U24" i="1"/>
  <c r="T24" i="1"/>
  <c r="R24" i="1"/>
  <c r="W24" i="1" s="1"/>
  <c r="Q24" i="1"/>
  <c r="V24" i="1" s="1"/>
  <c r="P24" i="1"/>
  <c r="O24" i="1"/>
  <c r="N24" i="1"/>
  <c r="S24" i="1" s="1"/>
  <c r="W23" i="1"/>
  <c r="V23" i="1"/>
  <c r="U23" i="1"/>
  <c r="R23" i="1"/>
  <c r="Q23" i="1"/>
  <c r="P23" i="1"/>
  <c r="O23" i="1"/>
  <c r="T23" i="1" s="1"/>
  <c r="N23" i="1"/>
  <c r="S23" i="1" s="1"/>
  <c r="V22" i="1"/>
  <c r="U22" i="1"/>
  <c r="R22" i="1"/>
  <c r="W22" i="1" s="1"/>
  <c r="Q22" i="1"/>
  <c r="P22" i="1"/>
  <c r="O22" i="1"/>
  <c r="T22" i="1" s="1"/>
  <c r="N22" i="1"/>
  <c r="S22" i="1" s="1"/>
  <c r="W21" i="1"/>
  <c r="R21" i="1"/>
  <c r="Q21" i="1"/>
  <c r="V21" i="1" s="1"/>
  <c r="P21" i="1"/>
  <c r="U21" i="1" s="1"/>
  <c r="O21" i="1"/>
  <c r="T21" i="1" s="1"/>
  <c r="N21" i="1"/>
  <c r="S21" i="1" s="1"/>
  <c r="W20" i="1"/>
  <c r="V20" i="1"/>
  <c r="U20" i="1"/>
  <c r="T20" i="1"/>
  <c r="S20" i="1"/>
  <c r="R20" i="1"/>
  <c r="Q20" i="1"/>
  <c r="P20" i="1"/>
  <c r="O20" i="1"/>
  <c r="N20" i="1"/>
  <c r="T19" i="1"/>
  <c r="S19" i="1"/>
  <c r="R19" i="1"/>
  <c r="W19" i="1" s="1"/>
  <c r="Q19" i="1"/>
  <c r="V19" i="1" s="1"/>
  <c r="P19" i="1"/>
  <c r="U19" i="1" s="1"/>
  <c r="O19" i="1"/>
  <c r="N19" i="1"/>
  <c r="W18" i="1"/>
  <c r="R18" i="1"/>
  <c r="Q18" i="1"/>
  <c r="V18" i="1" s="1"/>
  <c r="P18" i="1"/>
  <c r="U18" i="1" s="1"/>
  <c r="O18" i="1"/>
  <c r="T18" i="1" s="1"/>
  <c r="N18" i="1"/>
  <c r="S18" i="1" s="1"/>
  <c r="V17" i="1"/>
  <c r="U17" i="1"/>
  <c r="S17" i="1"/>
  <c r="R17" i="1"/>
  <c r="W17" i="1" s="1"/>
  <c r="Q17" i="1"/>
  <c r="P17" i="1"/>
  <c r="O17" i="1"/>
  <c r="T17" i="1" s="1"/>
  <c r="N17" i="1"/>
  <c r="R16" i="1"/>
  <c r="W16" i="1" s="1"/>
  <c r="Q16" i="1"/>
  <c r="V16" i="1" s="1"/>
  <c r="P16" i="1"/>
  <c r="U16" i="1" s="1"/>
  <c r="O16" i="1"/>
  <c r="T16" i="1" s="1"/>
  <c r="N16" i="1"/>
  <c r="S16" i="1" s="1"/>
  <c r="W15" i="1"/>
  <c r="V15" i="1"/>
  <c r="U15" i="1"/>
  <c r="T15" i="1"/>
  <c r="R15" i="1"/>
  <c r="Q15" i="1"/>
  <c r="P15" i="1"/>
  <c r="O15" i="1"/>
  <c r="N15" i="1"/>
  <c r="S15" i="1" s="1"/>
  <c r="R14" i="1"/>
  <c r="W14" i="1" s="1"/>
  <c r="Q14" i="1"/>
  <c r="V14" i="1" s="1"/>
  <c r="P14" i="1"/>
  <c r="U14" i="1" s="1"/>
  <c r="O14" i="1"/>
  <c r="T14" i="1" s="1"/>
  <c r="N14" i="1"/>
  <c r="S14" i="1" s="1"/>
  <c r="R13" i="1"/>
  <c r="W13" i="1" s="1"/>
  <c r="Q13" i="1"/>
  <c r="V13" i="1" s="1"/>
  <c r="P13" i="1"/>
  <c r="U13" i="1" s="1"/>
  <c r="O13" i="1"/>
  <c r="T13" i="1" s="1"/>
  <c r="N13" i="1"/>
  <c r="S13" i="1" s="1"/>
  <c r="U12" i="1"/>
  <c r="T12" i="1"/>
  <c r="S12" i="1"/>
  <c r="R12" i="1"/>
  <c r="W12" i="1" s="1"/>
  <c r="Q12" i="1"/>
  <c r="V12" i="1" s="1"/>
  <c r="P12" i="1"/>
  <c r="O12" i="1"/>
  <c r="N12" i="1"/>
  <c r="R11" i="1"/>
  <c r="W11" i="1" s="1"/>
  <c r="Q11" i="1"/>
  <c r="V11" i="1" s="1"/>
  <c r="P11" i="1"/>
  <c r="U11" i="1" s="1"/>
  <c r="O11" i="1"/>
  <c r="T11" i="1" s="1"/>
  <c r="N11" i="1"/>
  <c r="S11" i="1" s="1"/>
  <c r="W10" i="1"/>
  <c r="V10" i="1"/>
  <c r="U10" i="1"/>
  <c r="R10" i="1"/>
  <c r="Q10" i="1"/>
  <c r="P10" i="1"/>
  <c r="O10" i="1"/>
  <c r="T10" i="1" s="1"/>
  <c r="N10" i="1"/>
  <c r="S10" i="1" s="1"/>
  <c r="S9" i="1"/>
  <c r="R9" i="1"/>
  <c r="W9" i="1" s="1"/>
  <c r="Q9" i="1"/>
  <c r="V9" i="1" s="1"/>
  <c r="P9" i="1"/>
  <c r="U9" i="1" s="1"/>
  <c r="O9" i="1"/>
  <c r="T9" i="1" s="1"/>
  <c r="N9" i="1"/>
  <c r="T8" i="1"/>
  <c r="S8" i="1"/>
  <c r="R8" i="1"/>
  <c r="W8" i="1" s="1"/>
  <c r="Q8" i="1"/>
  <c r="V8" i="1" s="1"/>
  <c r="P8" i="1"/>
  <c r="U8" i="1" s="1"/>
  <c r="O8" i="1"/>
  <c r="N8" i="1"/>
  <c r="W7" i="1"/>
  <c r="V7" i="1"/>
  <c r="U7" i="1"/>
  <c r="R7" i="1"/>
  <c r="Q7" i="1"/>
  <c r="P7" i="1"/>
  <c r="O7" i="1"/>
  <c r="T7" i="1" s="1"/>
  <c r="N7" i="1"/>
  <c r="S7" i="1" s="1"/>
  <c r="W6" i="1"/>
  <c r="R6" i="1"/>
  <c r="Q6" i="1"/>
  <c r="V6" i="1" s="1"/>
  <c r="P6" i="1"/>
  <c r="U6" i="1" s="1"/>
  <c r="O6" i="1"/>
  <c r="T6" i="1" s="1"/>
  <c r="N6" i="1"/>
  <c r="S6" i="1" s="1"/>
  <c r="R5" i="1"/>
  <c r="W5" i="1" s="1"/>
  <c r="Q5" i="1"/>
  <c r="V5" i="1" s="1"/>
  <c r="P5" i="1"/>
  <c r="U5" i="1" s="1"/>
  <c r="O5" i="1"/>
  <c r="T5" i="1" s="1"/>
  <c r="N5" i="1"/>
  <c r="S5" i="1" s="1"/>
  <c r="B46" i="4" l="1"/>
  <c r="L18" i="4"/>
  <c r="L11" i="4"/>
  <c r="L19" i="4"/>
  <c r="L27" i="4"/>
  <c r="L35" i="4"/>
  <c r="L36" i="4"/>
  <c r="L29" i="4"/>
  <c r="L13" i="4"/>
  <c r="L37" i="4"/>
  <c r="L22" i="4"/>
  <c r="L30" i="4"/>
  <c r="L15" i="4"/>
  <c r="L23" i="4"/>
  <c r="L31" i="4"/>
  <c r="L39" i="4"/>
  <c r="L21" i="4"/>
  <c r="L40" i="4"/>
  <c r="C46" i="4"/>
  <c r="G10" i="4"/>
  <c r="G12" i="4"/>
  <c r="G14" i="4"/>
  <c r="G16" i="4"/>
  <c r="G18" i="4"/>
  <c r="G20" i="4"/>
  <c r="G22" i="4"/>
  <c r="G24" i="4"/>
  <c r="G26" i="4"/>
  <c r="G28" i="4"/>
  <c r="G30" i="4"/>
  <c r="G32" i="4"/>
  <c r="G34" i="4"/>
  <c r="G36" i="4"/>
  <c r="G38" i="4"/>
  <c r="G40" i="4"/>
  <c r="D46" i="4"/>
  <c r="H18" i="4"/>
  <c r="H40" i="4"/>
  <c r="I10" i="4"/>
  <c r="I12" i="4"/>
  <c r="I14" i="4"/>
  <c r="I16" i="4"/>
  <c r="I18" i="4"/>
  <c r="I20" i="4"/>
  <c r="I22" i="4"/>
  <c r="I24" i="4"/>
  <c r="I26" i="4"/>
  <c r="I28" i="4"/>
  <c r="I30" i="4"/>
  <c r="I32" i="4"/>
  <c r="I34" i="4"/>
  <c r="I36" i="4"/>
  <c r="I38" i="4"/>
  <c r="I40" i="4"/>
  <c r="F46" i="4"/>
  <c r="G46" i="4" s="1"/>
  <c r="H46" i="4" s="1"/>
  <c r="E46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K10" i="4"/>
  <c r="L10" i="4" s="1"/>
  <c r="K14" i="4"/>
  <c r="K22" i="4"/>
  <c r="K26" i="4"/>
  <c r="L26" i="4" s="1"/>
  <c r="K30" i="4"/>
  <c r="K34" i="4"/>
  <c r="L34" i="4" s="1"/>
  <c r="K38" i="4"/>
  <c r="L38" i="4" s="1"/>
  <c r="H36" i="4"/>
  <c r="J10" i="4"/>
  <c r="K12" i="4"/>
  <c r="L12" i="4" s="1"/>
  <c r="K16" i="4"/>
  <c r="L16" i="4" s="1"/>
  <c r="K20" i="4"/>
  <c r="L20" i="4" s="1"/>
  <c r="K24" i="4"/>
  <c r="L24" i="4" s="1"/>
  <c r="K28" i="4"/>
  <c r="L28" i="4" s="1"/>
  <c r="K32" i="4"/>
  <c r="L32" i="4" s="1"/>
  <c r="B5" i="4"/>
  <c r="L14" i="4"/>
  <c r="B47" i="4"/>
  <c r="C47" i="4"/>
  <c r="G9" i="4"/>
  <c r="B45" i="4" s="1"/>
  <c r="G11" i="4"/>
  <c r="G13" i="4"/>
  <c r="G15" i="4"/>
  <c r="G17" i="4"/>
  <c r="G19" i="4"/>
  <c r="G21" i="4"/>
  <c r="G23" i="4"/>
  <c r="G25" i="4"/>
  <c r="G27" i="4"/>
  <c r="G29" i="4"/>
  <c r="G31" i="4"/>
  <c r="G33" i="4"/>
  <c r="G35" i="4"/>
  <c r="G37" i="4"/>
  <c r="G39" i="4"/>
  <c r="D47" i="4"/>
  <c r="H9" i="4"/>
  <c r="C45" i="4" s="1"/>
  <c r="H11" i="4"/>
  <c r="H13" i="4"/>
  <c r="H15" i="4"/>
  <c r="H17" i="4"/>
  <c r="H19" i="4"/>
  <c r="H21" i="4"/>
  <c r="H23" i="4"/>
  <c r="H25" i="4"/>
  <c r="H27" i="4"/>
  <c r="H29" i="4"/>
  <c r="H31" i="4"/>
  <c r="H33" i="4"/>
  <c r="H35" i="4"/>
  <c r="H37" i="4"/>
  <c r="H39" i="4"/>
  <c r="E47" i="4"/>
  <c r="I9" i="4"/>
  <c r="D45" i="4" s="1"/>
  <c r="I11" i="4"/>
  <c r="I13" i="4"/>
  <c r="I15" i="4"/>
  <c r="I17" i="4"/>
  <c r="I19" i="4"/>
  <c r="I21" i="4"/>
  <c r="I23" i="4"/>
  <c r="I25" i="4"/>
  <c r="I27" i="4"/>
  <c r="I29" i="4"/>
  <c r="I31" i="4"/>
  <c r="I33" i="4"/>
  <c r="I35" i="4"/>
  <c r="I37" i="4"/>
  <c r="I39" i="4"/>
  <c r="F45" i="4"/>
  <c r="G45" i="4" s="1"/>
  <c r="H45" i="4" s="1"/>
  <c r="F47" i="4"/>
  <c r="G47" i="4" s="1"/>
  <c r="H47" i="4" s="1"/>
  <c r="J9" i="4"/>
  <c r="E45" i="4" s="1"/>
  <c r="J11" i="4"/>
  <c r="J13" i="4"/>
  <c r="J15" i="4"/>
  <c r="J17" i="4"/>
  <c r="J19" i="4"/>
  <c r="J21" i="4"/>
  <c r="J23" i="4"/>
  <c r="J25" i="4"/>
  <c r="J27" i="4"/>
  <c r="J29" i="4"/>
  <c r="J31" i="4"/>
  <c r="J33" i="4"/>
  <c r="J35" i="4"/>
  <c r="J37" i="4"/>
  <c r="J39" i="4"/>
  <c r="L37" i="2"/>
  <c r="L33" i="2"/>
  <c r="L25" i="2"/>
  <c r="F47" i="2"/>
  <c r="G47" i="2" s="1"/>
  <c r="H47" i="2" s="1"/>
  <c r="L19" i="2"/>
  <c r="L17" i="2"/>
  <c r="L13" i="2"/>
  <c r="L23" i="2"/>
  <c r="L29" i="2"/>
  <c r="L15" i="2"/>
  <c r="L39" i="2"/>
  <c r="L21" i="2"/>
  <c r="D45" i="2"/>
  <c r="J12" i="2"/>
  <c r="K12" i="2"/>
  <c r="L12" i="2" s="1"/>
  <c r="I12" i="2"/>
  <c r="L9" i="2"/>
  <c r="G12" i="2"/>
  <c r="G15" i="2"/>
  <c r="G20" i="2"/>
  <c r="G23" i="2"/>
  <c r="G28" i="2"/>
  <c r="G31" i="2"/>
  <c r="G36" i="2"/>
  <c r="G39" i="2"/>
  <c r="K10" i="2"/>
  <c r="L10" i="2" s="1"/>
  <c r="J10" i="2"/>
  <c r="H12" i="2"/>
  <c r="H15" i="2"/>
  <c r="H23" i="2"/>
  <c r="H31" i="2"/>
  <c r="H39" i="2"/>
  <c r="I15" i="2"/>
  <c r="K18" i="2"/>
  <c r="L18" i="2" s="1"/>
  <c r="J18" i="2"/>
  <c r="I18" i="2"/>
  <c r="I23" i="2"/>
  <c r="J26" i="2"/>
  <c r="K26" i="2"/>
  <c r="I26" i="2"/>
  <c r="I31" i="2"/>
  <c r="J34" i="2"/>
  <c r="K34" i="2"/>
  <c r="L34" i="2" s="1"/>
  <c r="I34" i="2"/>
  <c r="I39" i="2"/>
  <c r="B46" i="2"/>
  <c r="J39" i="2"/>
  <c r="C46" i="2"/>
  <c r="J15" i="2"/>
  <c r="J23" i="2"/>
  <c r="H10" i="2"/>
  <c r="G13" i="2"/>
  <c r="G18" i="2"/>
  <c r="G21" i="2"/>
  <c r="G26" i="2"/>
  <c r="G29" i="2"/>
  <c r="K31" i="2"/>
  <c r="L31" i="2" s="1"/>
  <c r="G34" i="2"/>
  <c r="G37" i="2"/>
  <c r="D46" i="2"/>
  <c r="J20" i="2"/>
  <c r="K20" i="2"/>
  <c r="L20" i="2" s="1"/>
  <c r="I20" i="2"/>
  <c r="I10" i="2"/>
  <c r="H13" i="2"/>
  <c r="H18" i="2"/>
  <c r="H21" i="2"/>
  <c r="H26" i="2"/>
  <c r="H29" i="2"/>
  <c r="H34" i="2"/>
  <c r="H37" i="2"/>
  <c r="E46" i="2"/>
  <c r="F45" i="2"/>
  <c r="G45" i="2" s="1"/>
  <c r="H45" i="2" s="1"/>
  <c r="L26" i="2"/>
  <c r="I13" i="2"/>
  <c r="J16" i="2"/>
  <c r="K16" i="2"/>
  <c r="L16" i="2" s="1"/>
  <c r="I16" i="2"/>
  <c r="I21" i="2"/>
  <c r="J24" i="2"/>
  <c r="K24" i="2"/>
  <c r="L24" i="2" s="1"/>
  <c r="I24" i="2"/>
  <c r="I29" i="2"/>
  <c r="J32" i="2"/>
  <c r="K32" i="2"/>
  <c r="L32" i="2" s="1"/>
  <c r="I32" i="2"/>
  <c r="I37" i="2"/>
  <c r="J40" i="2"/>
  <c r="K40" i="2"/>
  <c r="L40" i="2" s="1"/>
  <c r="I40" i="2"/>
  <c r="D47" i="2"/>
  <c r="J36" i="2"/>
  <c r="K36" i="2"/>
  <c r="L36" i="2" s="1"/>
  <c r="I36" i="2"/>
  <c r="E47" i="2"/>
  <c r="G11" i="2"/>
  <c r="G16" i="2"/>
  <c r="G19" i="2"/>
  <c r="G24" i="2"/>
  <c r="G27" i="2"/>
  <c r="G32" i="2"/>
  <c r="G35" i="2"/>
  <c r="G40" i="2"/>
  <c r="J28" i="2"/>
  <c r="K28" i="2"/>
  <c r="L28" i="2" s="1"/>
  <c r="I28" i="2"/>
  <c r="B5" i="2"/>
  <c r="H11" i="2"/>
  <c r="H16" i="2"/>
  <c r="H19" i="2"/>
  <c r="H24" i="2"/>
  <c r="H27" i="2"/>
  <c r="H32" i="2"/>
  <c r="H35" i="2"/>
  <c r="H40" i="2"/>
  <c r="C47" i="2"/>
  <c r="B47" i="2"/>
  <c r="F46" i="2"/>
  <c r="G46" i="2" s="1"/>
  <c r="H46" i="2" s="1"/>
  <c r="J14" i="2"/>
  <c r="K14" i="2"/>
  <c r="L14" i="2" s="1"/>
  <c r="I14" i="2"/>
  <c r="J22" i="2"/>
  <c r="K22" i="2"/>
  <c r="L22" i="2" s="1"/>
  <c r="I22" i="2"/>
  <c r="J30" i="2"/>
  <c r="K30" i="2"/>
  <c r="L30" i="2" s="1"/>
  <c r="I30" i="2"/>
  <c r="J38" i="2"/>
  <c r="K38" i="2"/>
  <c r="L38" i="2" s="1"/>
  <c r="I38" i="2"/>
  <c r="B45" i="2"/>
  <c r="E45" i="2"/>
  <c r="C45" i="2"/>
  <c r="K45" i="4" l="1"/>
  <c r="K46" i="4"/>
  <c r="K46" i="2"/>
  <c r="K45" i="2"/>
</calcChain>
</file>

<file path=xl/sharedStrings.xml><?xml version="1.0" encoding="utf-8"?>
<sst xmlns="http://schemas.openxmlformats.org/spreadsheetml/2006/main" count="119" uniqueCount="82">
  <si>
    <t>Power Ratings — measured LED database</t>
  </si>
  <si>
    <t>Yellow cells are measurements/inputs. Green cells are calculated. Use a unique Rating Name because Device Template dropdowns use this field.</t>
  </si>
  <si>
    <t>Rating Name</t>
  </si>
  <si>
    <t>Nominal Voltage (V)</t>
  </si>
  <si>
    <t>Form / Type</t>
  </si>
  <si>
    <t>Chip / Protocol</t>
  </si>
  <si>
    <t>Channels</t>
  </si>
  <si>
    <t>Measured Qty</t>
  </si>
  <si>
    <t>Measured Supply (V)</t>
  </si>
  <si>
    <t>PSU Current Limit (A)</t>
  </si>
  <si>
    <t>Red Measured (A)</t>
  </si>
  <si>
    <t>Green Measured (A)</t>
  </si>
  <si>
    <t>Blue Measured (A)</t>
  </si>
  <si>
    <t>White Measured (A)</t>
  </si>
  <si>
    <t>Max Measured (A)</t>
  </si>
  <si>
    <t>Red A / LED</t>
  </si>
  <si>
    <t>Green A / LED</t>
  </si>
  <si>
    <t>Blue A / LED</t>
  </si>
  <si>
    <t>White A / LED</t>
  </si>
  <si>
    <t>Max A / LED</t>
  </si>
  <si>
    <t>Red W / LED</t>
  </si>
  <si>
    <t>Green W / LED</t>
  </si>
  <si>
    <t>Blue W / LED</t>
  </si>
  <si>
    <t>White W / LED</t>
  </si>
  <si>
    <t>Max W / LED</t>
  </si>
  <si>
    <t>Notes</t>
  </si>
  <si>
    <t>Device PSU Design Template</t>
  </si>
  <si>
    <t>Device Name</t>
  </si>
  <si>
    <t>Copy this sheet and rename it</t>
  </si>
  <si>
    <t>PSU Headroom</t>
  </si>
  <si>
    <t>Total LEDs</t>
  </si>
  <si>
    <t>Design Lines</t>
  </si>
  <si>
    <t>LED Rating</t>
  </si>
  <si>
    <t>Outputs / Runs</t>
  </si>
  <si>
    <t>LEDs / Output</t>
  </si>
  <si>
    <t>Voltage (V)</t>
  </si>
  <si>
    <t>Red (A)</t>
  </si>
  <si>
    <t>Green (A)</t>
  </si>
  <si>
    <t>Blue (A)</t>
  </si>
  <si>
    <t>White (A)</t>
  </si>
  <si>
    <t>Max (A)</t>
  </si>
  <si>
    <t>Max (W)</t>
  </si>
  <si>
    <t>PSU Summary by Voltage</t>
  </si>
  <si>
    <t>Voltage</t>
  </si>
  <si>
    <t>Red A</t>
  </si>
  <si>
    <t>Green A</t>
  </si>
  <si>
    <t>Blue A</t>
  </si>
  <si>
    <t>White A</t>
  </si>
  <si>
    <t>Max A</t>
  </si>
  <si>
    <t>Recommended PSU A</t>
  </si>
  <si>
    <t>Recommended PSU W</t>
  </si>
  <si>
    <t>Overall</t>
  </si>
  <si>
    <t>Value</t>
  </si>
  <si>
    <t>Total Max Load (W)</t>
  </si>
  <si>
    <t>Recommended Capacity (W)</t>
  </si>
  <si>
    <t>Headroom</t>
  </si>
  <si>
    <t>Copy this sheet for each device. Select an LED Rating from the dropdown, enter the number of outputs/runs and LEDs per output, then size the PSU from the Max column plus your chosen headroom. If a design mixes voltage domains, use one PSU summary row per voltage.</t>
  </si>
  <si>
    <t>LED PSU Sizing Workbook</t>
  </si>
  <si>
    <t>Workflow</t>
  </si>
  <si>
    <t>1</t>
  </si>
  <si>
    <t>Measure each LED type on the Power Ratings tab using your bench PSU.</t>
  </si>
  <si>
    <t>2</t>
  </si>
  <si>
    <t>Measure a useful batch size (often 100 LEDs) and enter the measured quantity.</t>
  </si>
  <si>
    <t>3</t>
  </si>
  <si>
    <t>Enter the actual bench supply voltage and measured current for Red, Green, Blue, White and Max.</t>
  </si>
  <si>
    <t>4</t>
  </si>
  <si>
    <t>The workbook divides measured current by measured quantity to calculate per-LED current and power.</t>
  </si>
  <si>
    <t>5</t>
  </si>
  <si>
    <t>Copy the Device Template tab and rename the copy for each controller/display.</t>
  </si>
  <si>
    <t>6</t>
  </si>
  <si>
    <t>Select LED types from the dropdown, then enter Outputs/Runs and LEDs per Output.</t>
  </si>
  <si>
    <t>7</t>
  </si>
  <si>
    <t>The template calculates total current for Red, Green, Blue, White and Max.</t>
  </si>
  <si>
    <t>8</t>
  </si>
  <si>
    <t>Set PSU Headroom % on each device sheet. Recommended PSU current is based on measured Max current plus headroom.</t>
  </si>
  <si>
    <t>Measurement notes</t>
  </si>
  <si>
    <t>Use the same wiring and representative cable lengths where practical. Make sure the bench PSU current limit is not clipping the measurement. For RGB pixels, White is normally full R+G+B; Max is kept as a separate measured field so RGBW/RGBCCT or unusual pixels can have a true worst-case value.</t>
  </si>
  <si>
    <t>5V WS2812 Pebble</t>
  </si>
  <si>
    <t>Pebble</t>
  </si>
  <si>
    <t>WS2812</t>
  </si>
  <si>
    <t>Types</t>
  </si>
  <si>
    <t>5V 40A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</si>
</sst>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&quot; V&quot;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i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164" fontId="0" fillId="6" borderId="0" xfId="0" applyNumberFormat="1" applyFill="1"/>
    <xf numFmtId="1" fontId="0" fillId="6" borderId="0" xfId="0" applyNumberFormat="1" applyFill="1"/>
    <xf numFmtId="165" fontId="0" fillId="6" borderId="0" xfId="0" applyNumberFormat="1" applyFill="1"/>
    <xf numFmtId="166" fontId="0" fillId="7" borderId="0" xfId="0" applyNumberFormat="1" applyFill="1"/>
    <xf numFmtId="165" fontId="0" fillId="7" borderId="0" xfId="0" applyNumberFormat="1" applyFill="1"/>
    <xf numFmtId="9" fontId="0" fillId="6" borderId="0" xfId="0" applyNumberFormat="1" applyFill="1"/>
    <xf numFmtId="1" fontId="0" fillId="7" borderId="0" xfId="0" applyNumberFormat="1" applyFill="1"/>
    <xf numFmtId="164" fontId="0" fillId="7" borderId="0" xfId="0" applyNumberFormat="1" applyFill="1"/>
    <xf numFmtId="0" fontId="5" fillId="8" borderId="0" xfId="0" applyFont="1" applyFill="1" applyAlignment="1">
      <alignment horizontal="center" vertical="center" wrapText="1"/>
    </xf>
    <xf numFmtId="167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werRatingsTable" displayName="PowerRatingsTable" ref="A4:X104" totalsRowShown="0">
  <tableColumns count="24">
    <tableColumn id="1" xr3:uid="{00000000-0010-0000-0000-000001000000}" name="Rating Name"/>
    <tableColumn id="2" xr3:uid="{00000000-0010-0000-0000-000002000000}" name="Nominal Voltage (V)"/>
    <tableColumn id="3" xr3:uid="{00000000-0010-0000-0000-000003000000}" name="Form / Type"/>
    <tableColumn id="4" xr3:uid="{00000000-0010-0000-0000-000004000000}" name="Chip / Protocol"/>
    <tableColumn id="5" xr3:uid="{00000000-0010-0000-0000-000005000000}" name="Channels"/>
    <tableColumn id="6" xr3:uid="{00000000-0010-0000-0000-000006000000}" name="Measured Qty"/>
    <tableColumn id="7" xr3:uid="{00000000-0010-0000-0000-000007000000}" name="Measured Supply (V)"/>
    <tableColumn id="8" xr3:uid="{00000000-0010-0000-0000-000008000000}" name="PSU Current Limit (A)"/>
    <tableColumn id="9" xr3:uid="{00000000-0010-0000-0000-000009000000}" name="Red Measured (A)"/>
    <tableColumn id="10" xr3:uid="{00000000-0010-0000-0000-00000A000000}" name="Green Measured (A)"/>
    <tableColumn id="11" xr3:uid="{00000000-0010-0000-0000-00000B000000}" name="Blue Measured (A)"/>
    <tableColumn id="12" xr3:uid="{00000000-0010-0000-0000-00000C000000}" name="White Measured (A)"/>
    <tableColumn id="13" xr3:uid="{00000000-0010-0000-0000-00000D000000}" name="Max Measured (A)"/>
    <tableColumn id="14" xr3:uid="{00000000-0010-0000-0000-00000E000000}" name="Red A / LED"/>
    <tableColumn id="15" xr3:uid="{00000000-0010-0000-0000-00000F000000}" name="Green A / LED"/>
    <tableColumn id="16" xr3:uid="{00000000-0010-0000-0000-000010000000}" name="Blue A / LED"/>
    <tableColumn id="17" xr3:uid="{00000000-0010-0000-0000-000011000000}" name="White A / LED"/>
    <tableColumn id="18" xr3:uid="{00000000-0010-0000-0000-000012000000}" name="Max A / LED"/>
    <tableColumn id="19" xr3:uid="{00000000-0010-0000-0000-000013000000}" name="Red W / LED"/>
    <tableColumn id="20" xr3:uid="{00000000-0010-0000-0000-000014000000}" name="Green W / LED"/>
    <tableColumn id="21" xr3:uid="{00000000-0010-0000-0000-000015000000}" name="Blue W / LED"/>
    <tableColumn id="22" xr3:uid="{00000000-0010-0000-0000-000016000000}" name="White W / LED"/>
    <tableColumn id="23" xr3:uid="{00000000-0010-0000-0000-000017000000}" name="Max W / LED"/>
    <tableColumn id="24" xr3:uid="{00000000-0010-0000-0000-00001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viceDesignTable" displayName="DeviceDesignTable" ref="A8:M40" totalsRowShown="0">
  <tableColumns count="13">
    <tableColumn id="1" xr3:uid="{00000000-0010-0000-0100-000001000000}" name="Types"/>
    <tableColumn id="2" xr3:uid="{00000000-0010-0000-0100-000002000000}" name="LED Rating"/>
    <tableColumn id="3" xr3:uid="{00000000-0010-0000-0100-000003000000}" name="Outputs / Runs"/>
    <tableColumn id="4" xr3:uid="{00000000-0010-0000-0100-000004000000}" name="LEDs / Output"/>
    <tableColumn id="5" xr3:uid="{00000000-0010-0000-0100-000005000000}" name="Total LEDs"/>
    <tableColumn id="6" xr3:uid="{00000000-0010-0000-0100-000006000000}" name="Voltage (V)"/>
    <tableColumn id="7" xr3:uid="{00000000-0010-0000-0100-000007000000}" name="Red (A)"/>
    <tableColumn id="8" xr3:uid="{00000000-0010-0000-0100-000008000000}" name="Green (A)"/>
    <tableColumn id="9" xr3:uid="{00000000-0010-0000-0100-000009000000}" name="Blue (A)"/>
    <tableColumn id="10" xr3:uid="{00000000-0010-0000-0100-00000A000000}" name="White (A)"/>
    <tableColumn id="11" xr3:uid="{00000000-0010-0000-0100-00000B000000}" name="Max (A)"/>
    <tableColumn id="12" xr3:uid="{00000000-0010-0000-0100-00000C000000}" name="Max (W)"/>
    <tableColumn id="13" xr3:uid="{00000000-0010-0000-0100-00000D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F2F740-D56E-4D25-A96F-123B8DD8663F}" name="DeviceDesignTable4" displayName="DeviceDesignTable4" ref="A8:M40" totalsRowShown="0">
  <tableColumns count="13">
    <tableColumn id="1" xr3:uid="{7F4E561A-929F-4B12-B1C3-16750F967063}" name="Types"/>
    <tableColumn id="2" xr3:uid="{5BAE3212-DB7B-42AC-AEC7-900D0A783E9C}" name="LED Rating"/>
    <tableColumn id="3" xr3:uid="{09E84D4A-75E8-476F-B84E-346395699DF1}" name="Outputs / Runs"/>
    <tableColumn id="4" xr3:uid="{E7B8F8E6-B05E-431E-B49D-D256D9EB2C14}" name="LEDs / Output"/>
    <tableColumn id="5" xr3:uid="{1A7B9475-81D6-4A0E-BCF7-C59242A3849F}" name="Total LEDs">
      <calculatedColumnFormula>IF(OR(C9="",D9=""),"",C9*D9)</calculatedColumnFormula>
    </tableColumn>
    <tableColumn id="6" xr3:uid="{64C6917D-2F43-4814-90CA-60049F86E58A}" name="Voltage (V)">
      <calculatedColumnFormula>IFERROR(INDEX('Power Ratings'!$B$5:$B$104,MATCH($B9,'Power Ratings'!$A$5:$A$104,0)),"")</calculatedColumnFormula>
    </tableColumn>
    <tableColumn id="7" xr3:uid="{087CF458-BF58-4766-927F-3EB4C7AEA31E}" name="Red (A)">
      <calculatedColumnFormula>IF(OR($B9="",$E9=""),"",IFERROR($E9*INDEX('Power Ratings'!$N$5:$N$104,MATCH($B9,'Power Ratings'!$A$5:$A$104,0)),""))</calculatedColumnFormula>
    </tableColumn>
    <tableColumn id="8" xr3:uid="{B17995F2-60BD-4BBC-8B23-63D1DA6FA46A}" name="Green (A)">
      <calculatedColumnFormula>IF(OR($B9="",$E9=""),"",IFERROR($E9*INDEX('Power Ratings'!$O$5:$O$104,MATCH($B9,'Power Ratings'!$A$5:$A$104,0)),""))</calculatedColumnFormula>
    </tableColumn>
    <tableColumn id="9" xr3:uid="{0C47F2A0-CF42-4409-A30C-32BEC543ACAD}" name="Blue (A)">
      <calculatedColumnFormula>IF(OR($B9="",$E9=""),"",IFERROR($E9*INDEX('Power Ratings'!$P$5:$P$104,MATCH($B9,'Power Ratings'!$A$5:$A$104,0)),""))</calculatedColumnFormula>
    </tableColumn>
    <tableColumn id="10" xr3:uid="{61AF91AC-A810-42D5-8709-DEF3F912F0E5}" name="White (A)">
      <calculatedColumnFormula>IF(OR($B9="",$E9=""),"",IFERROR($E9*INDEX('Power Ratings'!$Q$5:$Q$104,MATCH($B9,'Power Ratings'!$A$5:$A$104,0)),""))</calculatedColumnFormula>
    </tableColumn>
    <tableColumn id="11" xr3:uid="{0E6DC438-C84B-4AF4-9395-342D22193DB7}" name="Max (A)">
      <calculatedColumnFormula>IF(OR($B9="",$E9=""),"",IFERROR($E9*INDEX('Power Ratings'!$R$5:$R$104,MATCH($B9,'Power Ratings'!$A$5:$A$104,0)),""))</calculatedColumnFormula>
    </tableColumn>
    <tableColumn id="12" xr3:uid="{17EA1DF0-576A-4B18-ADF6-20E20A16B00C}" name="Max (W)">
      <calculatedColumnFormula>IF(OR(F9="",K9=""),"",F9*K9)</calculatedColumnFormula>
    </tableColumn>
    <tableColumn id="13" xr3:uid="{1A0414B0-B0BE-43D9-84FD-31B384F9E19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"/>
  <sheetViews>
    <sheetView workbookViewId="0">
      <selection activeCell="M6" sqref="M6"/>
    </sheetView>
  </sheetViews>
  <sheetFormatPr defaultRowHeight="14.25"/>
  <cols>
    <col min="1" max="1" width="28" customWidth="1"/>
    <col min="2" max="2" width="12" customWidth="1"/>
    <col min="3" max="3" width="16" customWidth="1"/>
    <col min="4" max="4" width="18" customWidth="1"/>
    <col min="5" max="5" width="11" customWidth="1"/>
    <col min="6" max="6" width="12" customWidth="1"/>
    <col min="7" max="13" width="14" customWidth="1"/>
    <col min="14" max="23" width="12" customWidth="1"/>
    <col min="24" max="24" width="32" customWidth="1"/>
  </cols>
  <sheetData>
    <row r="1" spans="1:24" ht="2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4" spans="1:24" ht="3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>
      <c r="A5" s="5" t="s">
        <v>77</v>
      </c>
      <c r="B5" s="7">
        <v>5</v>
      </c>
      <c r="C5" s="5" t="s">
        <v>78</v>
      </c>
      <c r="D5" s="5" t="s">
        <v>79</v>
      </c>
      <c r="E5" s="5">
        <v>1</v>
      </c>
      <c r="F5" s="8">
        <v>100</v>
      </c>
      <c r="G5" s="9">
        <v>5</v>
      </c>
      <c r="H5" s="9">
        <v>5</v>
      </c>
      <c r="I5" s="9">
        <v>1.3</v>
      </c>
      <c r="J5" s="9">
        <v>1.3</v>
      </c>
      <c r="K5" s="9">
        <v>1.2</v>
      </c>
      <c r="L5" s="9">
        <v>2.4</v>
      </c>
      <c r="M5" s="9">
        <v>2.4</v>
      </c>
      <c r="N5" s="10">
        <f t="shared" ref="N5:N36" si="0">IF(OR($F5="",$F5=0,I5=""),"",I5/$F5)</f>
        <v>1.3000000000000001E-2</v>
      </c>
      <c r="O5" s="10">
        <f t="shared" ref="O5:O36" si="1">IF(OR($F5="",$F5=0,J5=""),"",J5/$F5)</f>
        <v>1.3000000000000001E-2</v>
      </c>
      <c r="P5" s="10">
        <f t="shared" ref="P5:P36" si="2">IF(OR($F5="",$F5=0,K5=""),"",K5/$F5)</f>
        <v>1.2E-2</v>
      </c>
      <c r="Q5" s="10">
        <f t="shared" ref="Q5:Q36" si="3">IF(OR($F5="",$F5=0,L5=""),"",L5/$F5)</f>
        <v>2.4E-2</v>
      </c>
      <c r="R5" s="10">
        <f t="shared" ref="R5:R36" si="4">IF(OR($F5="",$F5=0,M5=""),"",M5/$F5)</f>
        <v>2.4E-2</v>
      </c>
      <c r="S5" s="11">
        <f t="shared" ref="S5:S36" si="5">IF(OR($G5="",N5=""),"",$G5*N5)</f>
        <v>6.5000000000000002E-2</v>
      </c>
      <c r="T5" s="11">
        <f t="shared" ref="T5:T36" si="6">IF(OR($G5="",O5=""),"",$G5*O5)</f>
        <v>6.5000000000000002E-2</v>
      </c>
      <c r="U5" s="11">
        <f t="shared" ref="U5:U36" si="7">IF(OR($G5="",P5=""),"",$G5*P5)</f>
        <v>0.06</v>
      </c>
      <c r="V5" s="11">
        <f t="shared" ref="V5:V36" si="8">IF(OR($G5="",Q5=""),"",$G5*Q5)</f>
        <v>0.12</v>
      </c>
      <c r="W5" s="11">
        <f t="shared" ref="W5:W36" si="9">IF(OR($G5="",R5=""),"",$G5*R5)</f>
        <v>0.12</v>
      </c>
      <c r="X5" s="5"/>
    </row>
    <row r="6" spans="1:24">
      <c r="A6" s="5"/>
      <c r="B6" s="7"/>
      <c r="C6" s="5"/>
      <c r="D6" s="5"/>
      <c r="E6" s="5"/>
      <c r="F6" s="8"/>
      <c r="G6" s="9"/>
      <c r="H6" s="9"/>
      <c r="I6" s="9"/>
      <c r="J6" s="9"/>
      <c r="K6" s="9"/>
      <c r="L6" s="9"/>
      <c r="M6" s="9"/>
      <c r="N6" s="10" t="str">
        <f t="shared" si="0"/>
        <v/>
      </c>
      <c r="O6" s="10" t="str">
        <f t="shared" si="1"/>
        <v/>
      </c>
      <c r="P6" s="10" t="str">
        <f t="shared" si="2"/>
        <v/>
      </c>
      <c r="Q6" s="10" t="str">
        <f t="shared" si="3"/>
        <v/>
      </c>
      <c r="R6" s="10" t="str">
        <f t="shared" si="4"/>
        <v/>
      </c>
      <c r="S6" s="11" t="str">
        <f t="shared" si="5"/>
        <v/>
      </c>
      <c r="T6" s="11" t="str">
        <f t="shared" si="6"/>
        <v/>
      </c>
      <c r="U6" s="11" t="str">
        <f t="shared" si="7"/>
        <v/>
      </c>
      <c r="V6" s="11" t="str">
        <f t="shared" si="8"/>
        <v/>
      </c>
      <c r="W6" s="11" t="str">
        <f t="shared" si="9"/>
        <v/>
      </c>
      <c r="X6" s="5"/>
    </row>
    <row r="7" spans="1:24">
      <c r="A7" s="5"/>
      <c r="B7" s="7"/>
      <c r="C7" s="5"/>
      <c r="D7" s="5"/>
      <c r="E7" s="5"/>
      <c r="F7" s="8"/>
      <c r="G7" s="9"/>
      <c r="H7" s="9"/>
      <c r="I7" s="9"/>
      <c r="J7" s="9"/>
      <c r="K7" s="9"/>
      <c r="L7" s="9"/>
      <c r="M7" s="9"/>
      <c r="N7" s="10" t="str">
        <f t="shared" si="0"/>
        <v/>
      </c>
      <c r="O7" s="10" t="str">
        <f t="shared" si="1"/>
        <v/>
      </c>
      <c r="P7" s="10" t="str">
        <f t="shared" si="2"/>
        <v/>
      </c>
      <c r="Q7" s="10" t="str">
        <f t="shared" si="3"/>
        <v/>
      </c>
      <c r="R7" s="10" t="str">
        <f t="shared" si="4"/>
        <v/>
      </c>
      <c r="S7" s="11" t="str">
        <f t="shared" si="5"/>
        <v/>
      </c>
      <c r="T7" s="11" t="str">
        <f t="shared" si="6"/>
        <v/>
      </c>
      <c r="U7" s="11" t="str">
        <f t="shared" si="7"/>
        <v/>
      </c>
      <c r="V7" s="11" t="str">
        <f t="shared" si="8"/>
        <v/>
      </c>
      <c r="W7" s="11" t="str">
        <f t="shared" si="9"/>
        <v/>
      </c>
      <c r="X7" s="5"/>
    </row>
    <row r="8" spans="1:24">
      <c r="A8" s="5"/>
      <c r="B8" s="7"/>
      <c r="C8" s="5"/>
      <c r="D8" s="5"/>
      <c r="E8" s="5"/>
      <c r="F8" s="8"/>
      <c r="G8" s="9"/>
      <c r="H8" s="9"/>
      <c r="I8" s="9"/>
      <c r="J8" s="9"/>
      <c r="K8" s="9"/>
      <c r="L8" s="9"/>
      <c r="M8" s="9"/>
      <c r="N8" s="10" t="str">
        <f t="shared" si="0"/>
        <v/>
      </c>
      <c r="O8" s="10" t="str">
        <f t="shared" si="1"/>
        <v/>
      </c>
      <c r="P8" s="10" t="str">
        <f t="shared" si="2"/>
        <v/>
      </c>
      <c r="Q8" s="10" t="str">
        <f t="shared" si="3"/>
        <v/>
      </c>
      <c r="R8" s="10" t="str">
        <f t="shared" si="4"/>
        <v/>
      </c>
      <c r="S8" s="11" t="str">
        <f t="shared" si="5"/>
        <v/>
      </c>
      <c r="T8" s="11" t="str">
        <f t="shared" si="6"/>
        <v/>
      </c>
      <c r="U8" s="11" t="str">
        <f t="shared" si="7"/>
        <v/>
      </c>
      <c r="V8" s="11" t="str">
        <f t="shared" si="8"/>
        <v/>
      </c>
      <c r="W8" s="11" t="str">
        <f t="shared" si="9"/>
        <v/>
      </c>
      <c r="X8" s="5"/>
    </row>
    <row r="9" spans="1:24">
      <c r="A9" s="5"/>
      <c r="B9" s="7"/>
      <c r="C9" s="5"/>
      <c r="D9" s="5"/>
      <c r="E9" s="5"/>
      <c r="F9" s="8"/>
      <c r="G9" s="9"/>
      <c r="H9" s="9"/>
      <c r="I9" s="9"/>
      <c r="J9" s="9"/>
      <c r="K9" s="9"/>
      <c r="L9" s="9"/>
      <c r="M9" s="9"/>
      <c r="N9" s="10" t="str">
        <f t="shared" si="0"/>
        <v/>
      </c>
      <c r="O9" s="10" t="str">
        <f t="shared" si="1"/>
        <v/>
      </c>
      <c r="P9" s="10" t="str">
        <f t="shared" si="2"/>
        <v/>
      </c>
      <c r="Q9" s="10" t="str">
        <f t="shared" si="3"/>
        <v/>
      </c>
      <c r="R9" s="10" t="str">
        <f t="shared" si="4"/>
        <v/>
      </c>
      <c r="S9" s="11" t="str">
        <f t="shared" si="5"/>
        <v/>
      </c>
      <c r="T9" s="11" t="str">
        <f t="shared" si="6"/>
        <v/>
      </c>
      <c r="U9" s="11" t="str">
        <f t="shared" si="7"/>
        <v/>
      </c>
      <c r="V9" s="11" t="str">
        <f t="shared" si="8"/>
        <v/>
      </c>
      <c r="W9" s="11" t="str">
        <f t="shared" si="9"/>
        <v/>
      </c>
      <c r="X9" s="5"/>
    </row>
    <row r="10" spans="1:24">
      <c r="A10" s="5"/>
      <c r="B10" s="7"/>
      <c r="C10" s="5"/>
      <c r="D10" s="5"/>
      <c r="E10" s="5"/>
      <c r="F10" s="8"/>
      <c r="G10" s="9"/>
      <c r="H10" s="9"/>
      <c r="I10" s="9"/>
      <c r="J10" s="9"/>
      <c r="K10" s="9"/>
      <c r="L10" s="9"/>
      <c r="M10" s="9"/>
      <c r="N10" s="10" t="str">
        <f t="shared" si="0"/>
        <v/>
      </c>
      <c r="O10" s="10" t="str">
        <f t="shared" si="1"/>
        <v/>
      </c>
      <c r="P10" s="10" t="str">
        <f t="shared" si="2"/>
        <v/>
      </c>
      <c r="Q10" s="10" t="str">
        <f t="shared" si="3"/>
        <v/>
      </c>
      <c r="R10" s="10" t="str">
        <f t="shared" si="4"/>
        <v/>
      </c>
      <c r="S10" s="11" t="str">
        <f t="shared" si="5"/>
        <v/>
      </c>
      <c r="T10" s="11" t="str">
        <f t="shared" si="6"/>
        <v/>
      </c>
      <c r="U10" s="11" t="str">
        <f t="shared" si="7"/>
        <v/>
      </c>
      <c r="V10" s="11" t="str">
        <f t="shared" si="8"/>
        <v/>
      </c>
      <c r="W10" s="11" t="str">
        <f t="shared" si="9"/>
        <v/>
      </c>
      <c r="X10" s="5"/>
    </row>
    <row r="11" spans="1:24">
      <c r="A11" s="5"/>
      <c r="B11" s="7"/>
      <c r="C11" s="5"/>
      <c r="D11" s="5"/>
      <c r="E11" s="5"/>
      <c r="F11" s="8"/>
      <c r="G11" s="9"/>
      <c r="H11" s="9"/>
      <c r="I11" s="9"/>
      <c r="J11" s="9"/>
      <c r="K11" s="9"/>
      <c r="L11" s="9"/>
      <c r="M11" s="9"/>
      <c r="N11" s="10" t="str">
        <f t="shared" si="0"/>
        <v/>
      </c>
      <c r="O11" s="10" t="str">
        <f t="shared" si="1"/>
        <v/>
      </c>
      <c r="P11" s="10" t="str">
        <f t="shared" si="2"/>
        <v/>
      </c>
      <c r="Q11" s="10" t="str">
        <f t="shared" si="3"/>
        <v/>
      </c>
      <c r="R11" s="10" t="str">
        <f t="shared" si="4"/>
        <v/>
      </c>
      <c r="S11" s="11" t="str">
        <f t="shared" si="5"/>
        <v/>
      </c>
      <c r="T11" s="11" t="str">
        <f t="shared" si="6"/>
        <v/>
      </c>
      <c r="U11" s="11" t="str">
        <f t="shared" si="7"/>
        <v/>
      </c>
      <c r="V11" s="11" t="str">
        <f t="shared" si="8"/>
        <v/>
      </c>
      <c r="W11" s="11" t="str">
        <f t="shared" si="9"/>
        <v/>
      </c>
      <c r="X11" s="5"/>
    </row>
    <row r="12" spans="1:24">
      <c r="A12" s="5"/>
      <c r="B12" s="7"/>
      <c r="C12" s="5"/>
      <c r="D12" s="5"/>
      <c r="E12" s="5"/>
      <c r="F12" s="8"/>
      <c r="G12" s="9"/>
      <c r="H12" s="9"/>
      <c r="I12" s="9"/>
      <c r="J12" s="9"/>
      <c r="K12" s="9"/>
      <c r="L12" s="9"/>
      <c r="M12" s="9"/>
      <c r="N12" s="10" t="str">
        <f t="shared" si="0"/>
        <v/>
      </c>
      <c r="O12" s="10" t="str">
        <f t="shared" si="1"/>
        <v/>
      </c>
      <c r="P12" s="10" t="str">
        <f t="shared" si="2"/>
        <v/>
      </c>
      <c r="Q12" s="10" t="str">
        <f t="shared" si="3"/>
        <v/>
      </c>
      <c r="R12" s="10" t="str">
        <f t="shared" si="4"/>
        <v/>
      </c>
      <c r="S12" s="11" t="str">
        <f t="shared" si="5"/>
        <v/>
      </c>
      <c r="T12" s="11" t="str">
        <f t="shared" si="6"/>
        <v/>
      </c>
      <c r="U12" s="11" t="str">
        <f t="shared" si="7"/>
        <v/>
      </c>
      <c r="V12" s="11" t="str">
        <f t="shared" si="8"/>
        <v/>
      </c>
      <c r="W12" s="11" t="str">
        <f t="shared" si="9"/>
        <v/>
      </c>
      <c r="X12" s="5"/>
    </row>
    <row r="13" spans="1:24">
      <c r="A13" s="5"/>
      <c r="B13" s="7"/>
      <c r="C13" s="5"/>
      <c r="D13" s="5"/>
      <c r="E13" s="5"/>
      <c r="F13" s="8"/>
      <c r="G13" s="9"/>
      <c r="H13" s="9"/>
      <c r="I13" s="9"/>
      <c r="J13" s="9"/>
      <c r="K13" s="9"/>
      <c r="L13" s="9"/>
      <c r="M13" s="9"/>
      <c r="N13" s="10" t="str">
        <f t="shared" si="0"/>
        <v/>
      </c>
      <c r="O13" s="10" t="str">
        <f t="shared" si="1"/>
        <v/>
      </c>
      <c r="P13" s="10" t="str">
        <f t="shared" si="2"/>
        <v/>
      </c>
      <c r="Q13" s="10" t="str">
        <f t="shared" si="3"/>
        <v/>
      </c>
      <c r="R13" s="10" t="str">
        <f t="shared" si="4"/>
        <v/>
      </c>
      <c r="S13" s="11" t="str">
        <f t="shared" si="5"/>
        <v/>
      </c>
      <c r="T13" s="11" t="str">
        <f t="shared" si="6"/>
        <v/>
      </c>
      <c r="U13" s="11" t="str">
        <f t="shared" si="7"/>
        <v/>
      </c>
      <c r="V13" s="11" t="str">
        <f t="shared" si="8"/>
        <v/>
      </c>
      <c r="W13" s="11" t="str">
        <f t="shared" si="9"/>
        <v/>
      </c>
      <c r="X13" s="5"/>
    </row>
    <row r="14" spans="1:24">
      <c r="A14" s="5"/>
      <c r="B14" s="7"/>
      <c r="C14" s="5"/>
      <c r="D14" s="5"/>
      <c r="E14" s="5"/>
      <c r="F14" s="8"/>
      <c r="G14" s="9"/>
      <c r="H14" s="9"/>
      <c r="I14" s="9"/>
      <c r="J14" s="9"/>
      <c r="K14" s="9"/>
      <c r="L14" s="9"/>
      <c r="M14" s="9"/>
      <c r="N14" s="10" t="str">
        <f t="shared" si="0"/>
        <v/>
      </c>
      <c r="O14" s="10" t="str">
        <f t="shared" si="1"/>
        <v/>
      </c>
      <c r="P14" s="10" t="str">
        <f t="shared" si="2"/>
        <v/>
      </c>
      <c r="Q14" s="10" t="str">
        <f t="shared" si="3"/>
        <v/>
      </c>
      <c r="R14" s="10" t="str">
        <f t="shared" si="4"/>
        <v/>
      </c>
      <c r="S14" s="11" t="str">
        <f t="shared" si="5"/>
        <v/>
      </c>
      <c r="T14" s="11" t="str">
        <f t="shared" si="6"/>
        <v/>
      </c>
      <c r="U14" s="11" t="str">
        <f t="shared" si="7"/>
        <v/>
      </c>
      <c r="V14" s="11" t="str">
        <f t="shared" si="8"/>
        <v/>
      </c>
      <c r="W14" s="11" t="str">
        <f t="shared" si="9"/>
        <v/>
      </c>
      <c r="X14" s="5"/>
    </row>
    <row r="15" spans="1:24">
      <c r="A15" s="5"/>
      <c r="B15" s="7"/>
      <c r="C15" s="5"/>
      <c r="D15" s="5"/>
      <c r="E15" s="5"/>
      <c r="F15" s="8"/>
      <c r="G15" s="9"/>
      <c r="H15" s="9"/>
      <c r="I15" s="9"/>
      <c r="J15" s="9"/>
      <c r="K15" s="9"/>
      <c r="L15" s="9"/>
      <c r="M15" s="9"/>
      <c r="N15" s="10" t="str">
        <f t="shared" si="0"/>
        <v/>
      </c>
      <c r="O15" s="10" t="str">
        <f t="shared" si="1"/>
        <v/>
      </c>
      <c r="P15" s="10" t="str">
        <f t="shared" si="2"/>
        <v/>
      </c>
      <c r="Q15" s="10" t="str">
        <f t="shared" si="3"/>
        <v/>
      </c>
      <c r="R15" s="10" t="str">
        <f t="shared" si="4"/>
        <v/>
      </c>
      <c r="S15" s="11" t="str">
        <f t="shared" si="5"/>
        <v/>
      </c>
      <c r="T15" s="11" t="str">
        <f t="shared" si="6"/>
        <v/>
      </c>
      <c r="U15" s="11" t="str">
        <f t="shared" si="7"/>
        <v/>
      </c>
      <c r="V15" s="11" t="str">
        <f t="shared" si="8"/>
        <v/>
      </c>
      <c r="W15" s="11" t="str">
        <f t="shared" si="9"/>
        <v/>
      </c>
      <c r="X15" s="5"/>
    </row>
    <row r="16" spans="1:24">
      <c r="A16" s="5"/>
      <c r="B16" s="7"/>
      <c r="C16" s="5"/>
      <c r="D16" s="5"/>
      <c r="E16" s="5"/>
      <c r="F16" s="8"/>
      <c r="G16" s="9"/>
      <c r="H16" s="9"/>
      <c r="I16" s="9"/>
      <c r="J16" s="9"/>
      <c r="K16" s="9"/>
      <c r="L16" s="9"/>
      <c r="M16" s="9"/>
      <c r="N16" s="10" t="str">
        <f t="shared" si="0"/>
        <v/>
      </c>
      <c r="O16" s="10" t="str">
        <f t="shared" si="1"/>
        <v/>
      </c>
      <c r="P16" s="10" t="str">
        <f t="shared" si="2"/>
        <v/>
      </c>
      <c r="Q16" s="10" t="str">
        <f t="shared" si="3"/>
        <v/>
      </c>
      <c r="R16" s="10" t="str">
        <f t="shared" si="4"/>
        <v/>
      </c>
      <c r="S16" s="11" t="str">
        <f t="shared" si="5"/>
        <v/>
      </c>
      <c r="T16" s="11" t="str">
        <f t="shared" si="6"/>
        <v/>
      </c>
      <c r="U16" s="11" t="str">
        <f t="shared" si="7"/>
        <v/>
      </c>
      <c r="V16" s="11" t="str">
        <f t="shared" si="8"/>
        <v/>
      </c>
      <c r="W16" s="11" t="str">
        <f t="shared" si="9"/>
        <v/>
      </c>
      <c r="X16" s="5"/>
    </row>
    <row r="17" spans="1:24">
      <c r="A17" s="5"/>
      <c r="B17" s="7"/>
      <c r="C17" s="5"/>
      <c r="D17" s="5"/>
      <c r="E17" s="5"/>
      <c r="F17" s="8"/>
      <c r="G17" s="9"/>
      <c r="H17" s="9"/>
      <c r="I17" s="9"/>
      <c r="J17" s="9"/>
      <c r="K17" s="9"/>
      <c r="L17" s="9"/>
      <c r="M17" s="9"/>
      <c r="N17" s="10" t="str">
        <f t="shared" si="0"/>
        <v/>
      </c>
      <c r="O17" s="10" t="str">
        <f t="shared" si="1"/>
        <v/>
      </c>
      <c r="P17" s="10" t="str">
        <f t="shared" si="2"/>
        <v/>
      </c>
      <c r="Q17" s="10" t="str">
        <f t="shared" si="3"/>
        <v/>
      </c>
      <c r="R17" s="10" t="str">
        <f t="shared" si="4"/>
        <v/>
      </c>
      <c r="S17" s="11" t="str">
        <f t="shared" si="5"/>
        <v/>
      </c>
      <c r="T17" s="11" t="str">
        <f t="shared" si="6"/>
        <v/>
      </c>
      <c r="U17" s="11" t="str">
        <f t="shared" si="7"/>
        <v/>
      </c>
      <c r="V17" s="11" t="str">
        <f t="shared" si="8"/>
        <v/>
      </c>
      <c r="W17" s="11" t="str">
        <f t="shared" si="9"/>
        <v/>
      </c>
      <c r="X17" s="5"/>
    </row>
    <row r="18" spans="1:24">
      <c r="A18" s="5"/>
      <c r="B18" s="7"/>
      <c r="C18" s="5"/>
      <c r="D18" s="5"/>
      <c r="E18" s="5"/>
      <c r="F18" s="8"/>
      <c r="G18" s="9"/>
      <c r="H18" s="9"/>
      <c r="I18" s="9"/>
      <c r="J18" s="9"/>
      <c r="K18" s="9"/>
      <c r="L18" s="9"/>
      <c r="M18" s="9"/>
      <c r="N18" s="10" t="str">
        <f t="shared" si="0"/>
        <v/>
      </c>
      <c r="O18" s="10" t="str">
        <f t="shared" si="1"/>
        <v/>
      </c>
      <c r="P18" s="10" t="str">
        <f t="shared" si="2"/>
        <v/>
      </c>
      <c r="Q18" s="10" t="str">
        <f t="shared" si="3"/>
        <v/>
      </c>
      <c r="R18" s="10" t="str">
        <f t="shared" si="4"/>
        <v/>
      </c>
      <c r="S18" s="11" t="str">
        <f t="shared" si="5"/>
        <v/>
      </c>
      <c r="T18" s="11" t="str">
        <f t="shared" si="6"/>
        <v/>
      </c>
      <c r="U18" s="11" t="str">
        <f t="shared" si="7"/>
        <v/>
      </c>
      <c r="V18" s="11" t="str">
        <f t="shared" si="8"/>
        <v/>
      </c>
      <c r="W18" s="11" t="str">
        <f t="shared" si="9"/>
        <v/>
      </c>
      <c r="X18" s="5"/>
    </row>
    <row r="19" spans="1:24">
      <c r="A19" s="5"/>
      <c r="B19" s="7"/>
      <c r="C19" s="5"/>
      <c r="D19" s="5"/>
      <c r="E19" s="5"/>
      <c r="F19" s="8"/>
      <c r="G19" s="9"/>
      <c r="H19" s="9"/>
      <c r="I19" s="9"/>
      <c r="J19" s="9"/>
      <c r="K19" s="9"/>
      <c r="L19" s="9"/>
      <c r="M19" s="9"/>
      <c r="N19" s="10" t="str">
        <f t="shared" si="0"/>
        <v/>
      </c>
      <c r="O19" s="10" t="str">
        <f t="shared" si="1"/>
        <v/>
      </c>
      <c r="P19" s="10" t="str">
        <f t="shared" si="2"/>
        <v/>
      </c>
      <c r="Q19" s="10" t="str">
        <f t="shared" si="3"/>
        <v/>
      </c>
      <c r="R19" s="10" t="str">
        <f t="shared" si="4"/>
        <v/>
      </c>
      <c r="S19" s="11" t="str">
        <f t="shared" si="5"/>
        <v/>
      </c>
      <c r="T19" s="11" t="str">
        <f t="shared" si="6"/>
        <v/>
      </c>
      <c r="U19" s="11" t="str">
        <f t="shared" si="7"/>
        <v/>
      </c>
      <c r="V19" s="11" t="str">
        <f t="shared" si="8"/>
        <v/>
      </c>
      <c r="W19" s="11" t="str">
        <f t="shared" si="9"/>
        <v/>
      </c>
      <c r="X19" s="5"/>
    </row>
    <row r="20" spans="1:24">
      <c r="A20" s="5"/>
      <c r="B20" s="7"/>
      <c r="C20" s="5"/>
      <c r="D20" s="5"/>
      <c r="E20" s="5"/>
      <c r="F20" s="8"/>
      <c r="G20" s="9"/>
      <c r="H20" s="9"/>
      <c r="I20" s="9"/>
      <c r="J20" s="9"/>
      <c r="K20" s="9"/>
      <c r="L20" s="9"/>
      <c r="M20" s="9"/>
      <c r="N20" s="10" t="str">
        <f t="shared" si="0"/>
        <v/>
      </c>
      <c r="O20" s="10" t="str">
        <f t="shared" si="1"/>
        <v/>
      </c>
      <c r="P20" s="10" t="str">
        <f t="shared" si="2"/>
        <v/>
      </c>
      <c r="Q20" s="10" t="str">
        <f t="shared" si="3"/>
        <v/>
      </c>
      <c r="R20" s="10" t="str">
        <f t="shared" si="4"/>
        <v/>
      </c>
      <c r="S20" s="11" t="str">
        <f t="shared" si="5"/>
        <v/>
      </c>
      <c r="T20" s="11" t="str">
        <f t="shared" si="6"/>
        <v/>
      </c>
      <c r="U20" s="11" t="str">
        <f t="shared" si="7"/>
        <v/>
      </c>
      <c r="V20" s="11" t="str">
        <f t="shared" si="8"/>
        <v/>
      </c>
      <c r="W20" s="11" t="str">
        <f t="shared" si="9"/>
        <v/>
      </c>
      <c r="X20" s="5"/>
    </row>
    <row r="21" spans="1:24">
      <c r="A21" s="5"/>
      <c r="B21" s="7"/>
      <c r="C21" s="5"/>
      <c r="D21" s="5"/>
      <c r="E21" s="5"/>
      <c r="F21" s="8"/>
      <c r="G21" s="9"/>
      <c r="H21" s="9"/>
      <c r="I21" s="9"/>
      <c r="J21" s="9"/>
      <c r="K21" s="9"/>
      <c r="L21" s="9"/>
      <c r="M21" s="9"/>
      <c r="N21" s="10" t="str">
        <f t="shared" si="0"/>
        <v/>
      </c>
      <c r="O21" s="10" t="str">
        <f t="shared" si="1"/>
        <v/>
      </c>
      <c r="P21" s="10" t="str">
        <f t="shared" si="2"/>
        <v/>
      </c>
      <c r="Q21" s="10" t="str">
        <f t="shared" si="3"/>
        <v/>
      </c>
      <c r="R21" s="10" t="str">
        <f t="shared" si="4"/>
        <v/>
      </c>
      <c r="S21" s="11" t="str">
        <f t="shared" si="5"/>
        <v/>
      </c>
      <c r="T21" s="11" t="str">
        <f t="shared" si="6"/>
        <v/>
      </c>
      <c r="U21" s="11" t="str">
        <f t="shared" si="7"/>
        <v/>
      </c>
      <c r="V21" s="11" t="str">
        <f t="shared" si="8"/>
        <v/>
      </c>
      <c r="W21" s="11" t="str">
        <f t="shared" si="9"/>
        <v/>
      </c>
      <c r="X21" s="5"/>
    </row>
    <row r="22" spans="1:24">
      <c r="A22" s="5"/>
      <c r="B22" s="7"/>
      <c r="C22" s="5"/>
      <c r="D22" s="5"/>
      <c r="E22" s="5"/>
      <c r="F22" s="8"/>
      <c r="G22" s="9"/>
      <c r="H22" s="9"/>
      <c r="I22" s="9"/>
      <c r="J22" s="9"/>
      <c r="K22" s="9"/>
      <c r="L22" s="9"/>
      <c r="M22" s="9"/>
      <c r="N22" s="10" t="str">
        <f t="shared" si="0"/>
        <v/>
      </c>
      <c r="O22" s="10" t="str">
        <f t="shared" si="1"/>
        <v/>
      </c>
      <c r="P22" s="10" t="str">
        <f t="shared" si="2"/>
        <v/>
      </c>
      <c r="Q22" s="10" t="str">
        <f t="shared" si="3"/>
        <v/>
      </c>
      <c r="R22" s="10" t="str">
        <f t="shared" si="4"/>
        <v/>
      </c>
      <c r="S22" s="11" t="str">
        <f t="shared" si="5"/>
        <v/>
      </c>
      <c r="T22" s="11" t="str">
        <f t="shared" si="6"/>
        <v/>
      </c>
      <c r="U22" s="11" t="str">
        <f t="shared" si="7"/>
        <v/>
      </c>
      <c r="V22" s="11" t="str">
        <f t="shared" si="8"/>
        <v/>
      </c>
      <c r="W22" s="11" t="str">
        <f t="shared" si="9"/>
        <v/>
      </c>
      <c r="X22" s="5"/>
    </row>
    <row r="23" spans="1:24">
      <c r="A23" s="5"/>
      <c r="B23" s="7"/>
      <c r="C23" s="5"/>
      <c r="D23" s="5"/>
      <c r="E23" s="5"/>
      <c r="F23" s="8"/>
      <c r="G23" s="9"/>
      <c r="H23" s="9"/>
      <c r="I23" s="9"/>
      <c r="J23" s="9"/>
      <c r="K23" s="9"/>
      <c r="L23" s="9"/>
      <c r="M23" s="9"/>
      <c r="N23" s="10" t="str">
        <f t="shared" si="0"/>
        <v/>
      </c>
      <c r="O23" s="10" t="str">
        <f t="shared" si="1"/>
        <v/>
      </c>
      <c r="P23" s="10" t="str">
        <f t="shared" si="2"/>
        <v/>
      </c>
      <c r="Q23" s="10" t="str">
        <f t="shared" si="3"/>
        <v/>
      </c>
      <c r="R23" s="10" t="str">
        <f t="shared" si="4"/>
        <v/>
      </c>
      <c r="S23" s="11" t="str">
        <f t="shared" si="5"/>
        <v/>
      </c>
      <c r="T23" s="11" t="str">
        <f t="shared" si="6"/>
        <v/>
      </c>
      <c r="U23" s="11" t="str">
        <f t="shared" si="7"/>
        <v/>
      </c>
      <c r="V23" s="11" t="str">
        <f t="shared" si="8"/>
        <v/>
      </c>
      <c r="W23" s="11" t="str">
        <f t="shared" si="9"/>
        <v/>
      </c>
      <c r="X23" s="5"/>
    </row>
    <row r="24" spans="1:24">
      <c r="A24" s="5"/>
      <c r="B24" s="7"/>
      <c r="C24" s="5"/>
      <c r="D24" s="5"/>
      <c r="E24" s="5"/>
      <c r="F24" s="8"/>
      <c r="G24" s="9"/>
      <c r="H24" s="9"/>
      <c r="I24" s="9"/>
      <c r="J24" s="9"/>
      <c r="K24" s="9"/>
      <c r="L24" s="9"/>
      <c r="M24" s="9"/>
      <c r="N24" s="10" t="str">
        <f t="shared" si="0"/>
        <v/>
      </c>
      <c r="O24" s="10" t="str">
        <f t="shared" si="1"/>
        <v/>
      </c>
      <c r="P24" s="10" t="str">
        <f t="shared" si="2"/>
        <v/>
      </c>
      <c r="Q24" s="10" t="str">
        <f t="shared" si="3"/>
        <v/>
      </c>
      <c r="R24" s="10" t="str">
        <f t="shared" si="4"/>
        <v/>
      </c>
      <c r="S24" s="11" t="str">
        <f t="shared" si="5"/>
        <v/>
      </c>
      <c r="T24" s="11" t="str">
        <f t="shared" si="6"/>
        <v/>
      </c>
      <c r="U24" s="11" t="str">
        <f t="shared" si="7"/>
        <v/>
      </c>
      <c r="V24" s="11" t="str">
        <f t="shared" si="8"/>
        <v/>
      </c>
      <c r="W24" s="11" t="str">
        <f t="shared" si="9"/>
        <v/>
      </c>
      <c r="X24" s="5"/>
    </row>
    <row r="25" spans="1:24">
      <c r="A25" s="5"/>
      <c r="B25" s="7"/>
      <c r="C25" s="5"/>
      <c r="D25" s="5"/>
      <c r="E25" s="5"/>
      <c r="F25" s="8"/>
      <c r="G25" s="9"/>
      <c r="H25" s="9"/>
      <c r="I25" s="9"/>
      <c r="J25" s="9"/>
      <c r="K25" s="9"/>
      <c r="L25" s="9"/>
      <c r="M25" s="9"/>
      <c r="N25" s="10" t="str">
        <f t="shared" si="0"/>
        <v/>
      </c>
      <c r="O25" s="10" t="str">
        <f t="shared" si="1"/>
        <v/>
      </c>
      <c r="P25" s="10" t="str">
        <f t="shared" si="2"/>
        <v/>
      </c>
      <c r="Q25" s="10" t="str">
        <f t="shared" si="3"/>
        <v/>
      </c>
      <c r="R25" s="10" t="str">
        <f t="shared" si="4"/>
        <v/>
      </c>
      <c r="S25" s="11" t="str">
        <f t="shared" si="5"/>
        <v/>
      </c>
      <c r="T25" s="11" t="str">
        <f t="shared" si="6"/>
        <v/>
      </c>
      <c r="U25" s="11" t="str">
        <f t="shared" si="7"/>
        <v/>
      </c>
      <c r="V25" s="11" t="str">
        <f t="shared" si="8"/>
        <v/>
      </c>
      <c r="W25" s="11" t="str">
        <f t="shared" si="9"/>
        <v/>
      </c>
      <c r="X25" s="5"/>
    </row>
    <row r="26" spans="1:24">
      <c r="A26" s="5"/>
      <c r="B26" s="7"/>
      <c r="C26" s="5"/>
      <c r="D26" s="5"/>
      <c r="E26" s="5"/>
      <c r="F26" s="8"/>
      <c r="G26" s="9"/>
      <c r="H26" s="9"/>
      <c r="I26" s="9"/>
      <c r="J26" s="9"/>
      <c r="K26" s="9"/>
      <c r="L26" s="9"/>
      <c r="M26" s="9"/>
      <c r="N26" s="10" t="str">
        <f t="shared" si="0"/>
        <v/>
      </c>
      <c r="O26" s="10" t="str">
        <f t="shared" si="1"/>
        <v/>
      </c>
      <c r="P26" s="10" t="str">
        <f t="shared" si="2"/>
        <v/>
      </c>
      <c r="Q26" s="10" t="str">
        <f t="shared" si="3"/>
        <v/>
      </c>
      <c r="R26" s="10" t="str">
        <f t="shared" si="4"/>
        <v/>
      </c>
      <c r="S26" s="11" t="str">
        <f t="shared" si="5"/>
        <v/>
      </c>
      <c r="T26" s="11" t="str">
        <f t="shared" si="6"/>
        <v/>
      </c>
      <c r="U26" s="11" t="str">
        <f t="shared" si="7"/>
        <v/>
      </c>
      <c r="V26" s="11" t="str">
        <f t="shared" si="8"/>
        <v/>
      </c>
      <c r="W26" s="11" t="str">
        <f t="shared" si="9"/>
        <v/>
      </c>
      <c r="X26" s="5"/>
    </row>
    <row r="27" spans="1:24">
      <c r="A27" s="5"/>
      <c r="B27" s="7"/>
      <c r="C27" s="5"/>
      <c r="D27" s="5"/>
      <c r="E27" s="5"/>
      <c r="F27" s="8"/>
      <c r="G27" s="9"/>
      <c r="H27" s="9"/>
      <c r="I27" s="9"/>
      <c r="J27" s="9"/>
      <c r="K27" s="9"/>
      <c r="L27" s="9"/>
      <c r="M27" s="9"/>
      <c r="N27" s="10" t="str">
        <f t="shared" si="0"/>
        <v/>
      </c>
      <c r="O27" s="10" t="str">
        <f t="shared" si="1"/>
        <v/>
      </c>
      <c r="P27" s="10" t="str">
        <f t="shared" si="2"/>
        <v/>
      </c>
      <c r="Q27" s="10" t="str">
        <f t="shared" si="3"/>
        <v/>
      </c>
      <c r="R27" s="10" t="str">
        <f t="shared" si="4"/>
        <v/>
      </c>
      <c r="S27" s="11" t="str">
        <f t="shared" si="5"/>
        <v/>
      </c>
      <c r="T27" s="11" t="str">
        <f t="shared" si="6"/>
        <v/>
      </c>
      <c r="U27" s="11" t="str">
        <f t="shared" si="7"/>
        <v/>
      </c>
      <c r="V27" s="11" t="str">
        <f t="shared" si="8"/>
        <v/>
      </c>
      <c r="W27" s="11" t="str">
        <f t="shared" si="9"/>
        <v/>
      </c>
      <c r="X27" s="5"/>
    </row>
    <row r="28" spans="1:24">
      <c r="A28" s="5"/>
      <c r="B28" s="7"/>
      <c r="C28" s="5"/>
      <c r="D28" s="5"/>
      <c r="E28" s="5"/>
      <c r="F28" s="8"/>
      <c r="G28" s="9"/>
      <c r="H28" s="9"/>
      <c r="I28" s="9"/>
      <c r="J28" s="9"/>
      <c r="K28" s="9"/>
      <c r="L28" s="9"/>
      <c r="M28" s="9"/>
      <c r="N28" s="10" t="str">
        <f t="shared" si="0"/>
        <v/>
      </c>
      <c r="O28" s="10" t="str">
        <f t="shared" si="1"/>
        <v/>
      </c>
      <c r="P28" s="10" t="str">
        <f t="shared" si="2"/>
        <v/>
      </c>
      <c r="Q28" s="10" t="str">
        <f t="shared" si="3"/>
        <v/>
      </c>
      <c r="R28" s="10" t="str">
        <f t="shared" si="4"/>
        <v/>
      </c>
      <c r="S28" s="11" t="str">
        <f t="shared" si="5"/>
        <v/>
      </c>
      <c r="T28" s="11" t="str">
        <f t="shared" si="6"/>
        <v/>
      </c>
      <c r="U28" s="11" t="str">
        <f t="shared" si="7"/>
        <v/>
      </c>
      <c r="V28" s="11" t="str">
        <f t="shared" si="8"/>
        <v/>
      </c>
      <c r="W28" s="11" t="str">
        <f t="shared" si="9"/>
        <v/>
      </c>
      <c r="X28" s="5"/>
    </row>
    <row r="29" spans="1:24">
      <c r="A29" s="5"/>
      <c r="B29" s="7"/>
      <c r="C29" s="5"/>
      <c r="D29" s="5"/>
      <c r="E29" s="5"/>
      <c r="F29" s="8"/>
      <c r="G29" s="9"/>
      <c r="H29" s="9"/>
      <c r="I29" s="9"/>
      <c r="J29" s="9"/>
      <c r="K29" s="9"/>
      <c r="L29" s="9"/>
      <c r="M29" s="9"/>
      <c r="N29" s="10" t="str">
        <f t="shared" si="0"/>
        <v/>
      </c>
      <c r="O29" s="10" t="str">
        <f t="shared" si="1"/>
        <v/>
      </c>
      <c r="P29" s="10" t="str">
        <f t="shared" si="2"/>
        <v/>
      </c>
      <c r="Q29" s="10" t="str">
        <f t="shared" si="3"/>
        <v/>
      </c>
      <c r="R29" s="10" t="str">
        <f t="shared" si="4"/>
        <v/>
      </c>
      <c r="S29" s="11" t="str">
        <f t="shared" si="5"/>
        <v/>
      </c>
      <c r="T29" s="11" t="str">
        <f t="shared" si="6"/>
        <v/>
      </c>
      <c r="U29" s="11" t="str">
        <f t="shared" si="7"/>
        <v/>
      </c>
      <c r="V29" s="11" t="str">
        <f t="shared" si="8"/>
        <v/>
      </c>
      <c r="W29" s="11" t="str">
        <f t="shared" si="9"/>
        <v/>
      </c>
      <c r="X29" s="5"/>
    </row>
    <row r="30" spans="1:24">
      <c r="A30" s="5"/>
      <c r="B30" s="7"/>
      <c r="C30" s="5"/>
      <c r="D30" s="5"/>
      <c r="E30" s="5"/>
      <c r="F30" s="8"/>
      <c r="G30" s="9"/>
      <c r="H30" s="9"/>
      <c r="I30" s="9"/>
      <c r="J30" s="9"/>
      <c r="K30" s="9"/>
      <c r="L30" s="9"/>
      <c r="M30" s="9"/>
      <c r="N30" s="10" t="str">
        <f t="shared" si="0"/>
        <v/>
      </c>
      <c r="O30" s="10" t="str">
        <f t="shared" si="1"/>
        <v/>
      </c>
      <c r="P30" s="10" t="str">
        <f t="shared" si="2"/>
        <v/>
      </c>
      <c r="Q30" s="10" t="str">
        <f t="shared" si="3"/>
        <v/>
      </c>
      <c r="R30" s="10" t="str">
        <f t="shared" si="4"/>
        <v/>
      </c>
      <c r="S30" s="11" t="str">
        <f t="shared" si="5"/>
        <v/>
      </c>
      <c r="T30" s="11" t="str">
        <f t="shared" si="6"/>
        <v/>
      </c>
      <c r="U30" s="11" t="str">
        <f t="shared" si="7"/>
        <v/>
      </c>
      <c r="V30" s="11" t="str">
        <f t="shared" si="8"/>
        <v/>
      </c>
      <c r="W30" s="11" t="str">
        <f t="shared" si="9"/>
        <v/>
      </c>
      <c r="X30" s="5"/>
    </row>
    <row r="31" spans="1:24">
      <c r="A31" s="5"/>
      <c r="B31" s="7"/>
      <c r="C31" s="5"/>
      <c r="D31" s="5"/>
      <c r="E31" s="5"/>
      <c r="F31" s="8"/>
      <c r="G31" s="9"/>
      <c r="H31" s="9"/>
      <c r="I31" s="9"/>
      <c r="J31" s="9"/>
      <c r="K31" s="9"/>
      <c r="L31" s="9"/>
      <c r="M31" s="9"/>
      <c r="N31" s="10" t="str">
        <f t="shared" si="0"/>
        <v/>
      </c>
      <c r="O31" s="10" t="str">
        <f t="shared" si="1"/>
        <v/>
      </c>
      <c r="P31" s="10" t="str">
        <f t="shared" si="2"/>
        <v/>
      </c>
      <c r="Q31" s="10" t="str">
        <f t="shared" si="3"/>
        <v/>
      </c>
      <c r="R31" s="10" t="str">
        <f t="shared" si="4"/>
        <v/>
      </c>
      <c r="S31" s="11" t="str">
        <f t="shared" si="5"/>
        <v/>
      </c>
      <c r="T31" s="11" t="str">
        <f t="shared" si="6"/>
        <v/>
      </c>
      <c r="U31" s="11" t="str">
        <f t="shared" si="7"/>
        <v/>
      </c>
      <c r="V31" s="11" t="str">
        <f t="shared" si="8"/>
        <v/>
      </c>
      <c r="W31" s="11" t="str">
        <f t="shared" si="9"/>
        <v/>
      </c>
      <c r="X31" s="5"/>
    </row>
    <row r="32" spans="1:24">
      <c r="A32" s="5"/>
      <c r="B32" s="7"/>
      <c r="C32" s="5"/>
      <c r="D32" s="5"/>
      <c r="E32" s="5"/>
      <c r="F32" s="8"/>
      <c r="G32" s="9"/>
      <c r="H32" s="9"/>
      <c r="I32" s="9"/>
      <c r="J32" s="9"/>
      <c r="K32" s="9"/>
      <c r="L32" s="9"/>
      <c r="M32" s="9"/>
      <c r="N32" s="10" t="str">
        <f t="shared" si="0"/>
        <v/>
      </c>
      <c r="O32" s="10" t="str">
        <f t="shared" si="1"/>
        <v/>
      </c>
      <c r="P32" s="10" t="str">
        <f t="shared" si="2"/>
        <v/>
      </c>
      <c r="Q32" s="10" t="str">
        <f t="shared" si="3"/>
        <v/>
      </c>
      <c r="R32" s="10" t="str">
        <f t="shared" si="4"/>
        <v/>
      </c>
      <c r="S32" s="11" t="str">
        <f t="shared" si="5"/>
        <v/>
      </c>
      <c r="T32" s="11" t="str">
        <f t="shared" si="6"/>
        <v/>
      </c>
      <c r="U32" s="11" t="str">
        <f t="shared" si="7"/>
        <v/>
      </c>
      <c r="V32" s="11" t="str">
        <f t="shared" si="8"/>
        <v/>
      </c>
      <c r="W32" s="11" t="str">
        <f t="shared" si="9"/>
        <v/>
      </c>
      <c r="X32" s="5"/>
    </row>
    <row r="33" spans="1:24">
      <c r="A33" s="5"/>
      <c r="B33" s="7"/>
      <c r="C33" s="5"/>
      <c r="D33" s="5"/>
      <c r="E33" s="5"/>
      <c r="F33" s="8"/>
      <c r="G33" s="9"/>
      <c r="H33" s="9"/>
      <c r="I33" s="9"/>
      <c r="J33" s="9"/>
      <c r="K33" s="9"/>
      <c r="L33" s="9"/>
      <c r="M33" s="9"/>
      <c r="N33" s="10" t="str">
        <f t="shared" si="0"/>
        <v/>
      </c>
      <c r="O33" s="10" t="str">
        <f t="shared" si="1"/>
        <v/>
      </c>
      <c r="P33" s="10" t="str">
        <f t="shared" si="2"/>
        <v/>
      </c>
      <c r="Q33" s="10" t="str">
        <f t="shared" si="3"/>
        <v/>
      </c>
      <c r="R33" s="10" t="str">
        <f t="shared" si="4"/>
        <v/>
      </c>
      <c r="S33" s="11" t="str">
        <f t="shared" si="5"/>
        <v/>
      </c>
      <c r="T33" s="11" t="str">
        <f t="shared" si="6"/>
        <v/>
      </c>
      <c r="U33" s="11" t="str">
        <f t="shared" si="7"/>
        <v/>
      </c>
      <c r="V33" s="11" t="str">
        <f t="shared" si="8"/>
        <v/>
      </c>
      <c r="W33" s="11" t="str">
        <f t="shared" si="9"/>
        <v/>
      </c>
      <c r="X33" s="5"/>
    </row>
    <row r="34" spans="1:24">
      <c r="A34" s="5"/>
      <c r="B34" s="7"/>
      <c r="C34" s="5"/>
      <c r="D34" s="5"/>
      <c r="E34" s="5"/>
      <c r="F34" s="8"/>
      <c r="G34" s="9"/>
      <c r="H34" s="9"/>
      <c r="I34" s="9"/>
      <c r="J34" s="9"/>
      <c r="K34" s="9"/>
      <c r="L34" s="9"/>
      <c r="M34" s="9"/>
      <c r="N34" s="10" t="str">
        <f t="shared" si="0"/>
        <v/>
      </c>
      <c r="O34" s="10" t="str">
        <f t="shared" si="1"/>
        <v/>
      </c>
      <c r="P34" s="10" t="str">
        <f t="shared" si="2"/>
        <v/>
      </c>
      <c r="Q34" s="10" t="str">
        <f t="shared" si="3"/>
        <v/>
      </c>
      <c r="R34" s="10" t="str">
        <f t="shared" si="4"/>
        <v/>
      </c>
      <c r="S34" s="11" t="str">
        <f t="shared" si="5"/>
        <v/>
      </c>
      <c r="T34" s="11" t="str">
        <f t="shared" si="6"/>
        <v/>
      </c>
      <c r="U34" s="11" t="str">
        <f t="shared" si="7"/>
        <v/>
      </c>
      <c r="V34" s="11" t="str">
        <f t="shared" si="8"/>
        <v/>
      </c>
      <c r="W34" s="11" t="str">
        <f t="shared" si="9"/>
        <v/>
      </c>
      <c r="X34" s="5"/>
    </row>
    <row r="35" spans="1:24">
      <c r="A35" s="5"/>
      <c r="B35" s="7"/>
      <c r="C35" s="5"/>
      <c r="D35" s="5"/>
      <c r="E35" s="5"/>
      <c r="F35" s="8"/>
      <c r="G35" s="9"/>
      <c r="H35" s="9"/>
      <c r="I35" s="9"/>
      <c r="J35" s="9"/>
      <c r="K35" s="9"/>
      <c r="L35" s="9"/>
      <c r="M35" s="9"/>
      <c r="N35" s="10" t="str">
        <f t="shared" si="0"/>
        <v/>
      </c>
      <c r="O35" s="10" t="str">
        <f t="shared" si="1"/>
        <v/>
      </c>
      <c r="P35" s="10" t="str">
        <f t="shared" si="2"/>
        <v/>
      </c>
      <c r="Q35" s="10" t="str">
        <f t="shared" si="3"/>
        <v/>
      </c>
      <c r="R35" s="10" t="str">
        <f t="shared" si="4"/>
        <v/>
      </c>
      <c r="S35" s="11" t="str">
        <f t="shared" si="5"/>
        <v/>
      </c>
      <c r="T35" s="11" t="str">
        <f t="shared" si="6"/>
        <v/>
      </c>
      <c r="U35" s="11" t="str">
        <f t="shared" si="7"/>
        <v/>
      </c>
      <c r="V35" s="11" t="str">
        <f t="shared" si="8"/>
        <v/>
      </c>
      <c r="W35" s="11" t="str">
        <f t="shared" si="9"/>
        <v/>
      </c>
      <c r="X35" s="5"/>
    </row>
    <row r="36" spans="1:24">
      <c r="A36" s="5"/>
      <c r="B36" s="7"/>
      <c r="C36" s="5"/>
      <c r="D36" s="5"/>
      <c r="E36" s="5"/>
      <c r="F36" s="8"/>
      <c r="G36" s="9"/>
      <c r="H36" s="9"/>
      <c r="I36" s="9"/>
      <c r="J36" s="9"/>
      <c r="K36" s="9"/>
      <c r="L36" s="9"/>
      <c r="M36" s="9"/>
      <c r="N36" s="10" t="str">
        <f t="shared" si="0"/>
        <v/>
      </c>
      <c r="O36" s="10" t="str">
        <f t="shared" si="1"/>
        <v/>
      </c>
      <c r="P36" s="10" t="str">
        <f t="shared" si="2"/>
        <v/>
      </c>
      <c r="Q36" s="10" t="str">
        <f t="shared" si="3"/>
        <v/>
      </c>
      <c r="R36" s="10" t="str">
        <f t="shared" si="4"/>
        <v/>
      </c>
      <c r="S36" s="11" t="str">
        <f t="shared" si="5"/>
        <v/>
      </c>
      <c r="T36" s="11" t="str">
        <f t="shared" si="6"/>
        <v/>
      </c>
      <c r="U36" s="11" t="str">
        <f t="shared" si="7"/>
        <v/>
      </c>
      <c r="V36" s="11" t="str">
        <f t="shared" si="8"/>
        <v/>
      </c>
      <c r="W36" s="11" t="str">
        <f t="shared" si="9"/>
        <v/>
      </c>
      <c r="X36" s="5"/>
    </row>
    <row r="37" spans="1:24">
      <c r="A37" s="5"/>
      <c r="B37" s="7"/>
      <c r="C37" s="5"/>
      <c r="D37" s="5"/>
      <c r="E37" s="5"/>
      <c r="F37" s="8"/>
      <c r="G37" s="9"/>
      <c r="H37" s="9"/>
      <c r="I37" s="9"/>
      <c r="J37" s="9"/>
      <c r="K37" s="9"/>
      <c r="L37" s="9"/>
      <c r="M37" s="9"/>
      <c r="N37" s="10" t="str">
        <f t="shared" ref="N37:N68" si="10">IF(OR($F37="",$F37=0,I37=""),"",I37/$F37)</f>
        <v/>
      </c>
      <c r="O37" s="10" t="str">
        <f t="shared" ref="O37:O68" si="11">IF(OR($F37="",$F37=0,J37=""),"",J37/$F37)</f>
        <v/>
      </c>
      <c r="P37" s="10" t="str">
        <f t="shared" ref="P37:P68" si="12">IF(OR($F37="",$F37=0,K37=""),"",K37/$F37)</f>
        <v/>
      </c>
      <c r="Q37" s="10" t="str">
        <f t="shared" ref="Q37:Q68" si="13">IF(OR($F37="",$F37=0,L37=""),"",L37/$F37)</f>
        <v/>
      </c>
      <c r="R37" s="10" t="str">
        <f t="shared" ref="R37:R68" si="14">IF(OR($F37="",$F37=0,M37=""),"",M37/$F37)</f>
        <v/>
      </c>
      <c r="S37" s="11" t="str">
        <f t="shared" ref="S37:S68" si="15">IF(OR($G37="",N37=""),"",$G37*N37)</f>
        <v/>
      </c>
      <c r="T37" s="11" t="str">
        <f t="shared" ref="T37:T68" si="16">IF(OR($G37="",O37=""),"",$G37*O37)</f>
        <v/>
      </c>
      <c r="U37" s="11" t="str">
        <f t="shared" ref="U37:U68" si="17">IF(OR($G37="",P37=""),"",$G37*P37)</f>
        <v/>
      </c>
      <c r="V37" s="11" t="str">
        <f t="shared" ref="V37:V68" si="18">IF(OR($G37="",Q37=""),"",$G37*Q37)</f>
        <v/>
      </c>
      <c r="W37" s="11" t="str">
        <f t="shared" ref="W37:W68" si="19">IF(OR($G37="",R37=""),"",$G37*R37)</f>
        <v/>
      </c>
      <c r="X37" s="5"/>
    </row>
    <row r="38" spans="1:24">
      <c r="A38" s="5"/>
      <c r="B38" s="7"/>
      <c r="C38" s="5"/>
      <c r="D38" s="5"/>
      <c r="E38" s="5"/>
      <c r="F38" s="8"/>
      <c r="G38" s="9"/>
      <c r="H38" s="9"/>
      <c r="I38" s="9"/>
      <c r="J38" s="9"/>
      <c r="K38" s="9"/>
      <c r="L38" s="9"/>
      <c r="M38" s="9"/>
      <c r="N38" s="10" t="str">
        <f t="shared" si="10"/>
        <v/>
      </c>
      <c r="O38" s="10" t="str">
        <f t="shared" si="11"/>
        <v/>
      </c>
      <c r="P38" s="10" t="str">
        <f t="shared" si="12"/>
        <v/>
      </c>
      <c r="Q38" s="10" t="str">
        <f t="shared" si="13"/>
        <v/>
      </c>
      <c r="R38" s="10" t="str">
        <f t="shared" si="14"/>
        <v/>
      </c>
      <c r="S38" s="11" t="str">
        <f t="shared" si="15"/>
        <v/>
      </c>
      <c r="T38" s="11" t="str">
        <f t="shared" si="16"/>
        <v/>
      </c>
      <c r="U38" s="11" t="str">
        <f t="shared" si="17"/>
        <v/>
      </c>
      <c r="V38" s="11" t="str">
        <f t="shared" si="18"/>
        <v/>
      </c>
      <c r="W38" s="11" t="str">
        <f t="shared" si="19"/>
        <v/>
      </c>
      <c r="X38" s="5"/>
    </row>
    <row r="39" spans="1:24">
      <c r="A39" s="5"/>
      <c r="B39" s="7"/>
      <c r="C39" s="5"/>
      <c r="D39" s="5"/>
      <c r="E39" s="5"/>
      <c r="F39" s="8"/>
      <c r="G39" s="9"/>
      <c r="H39" s="9"/>
      <c r="I39" s="9"/>
      <c r="J39" s="9"/>
      <c r="K39" s="9"/>
      <c r="L39" s="9"/>
      <c r="M39" s="9"/>
      <c r="N39" s="10" t="str">
        <f t="shared" si="10"/>
        <v/>
      </c>
      <c r="O39" s="10" t="str">
        <f t="shared" si="11"/>
        <v/>
      </c>
      <c r="P39" s="10" t="str">
        <f t="shared" si="12"/>
        <v/>
      </c>
      <c r="Q39" s="10" t="str">
        <f t="shared" si="13"/>
        <v/>
      </c>
      <c r="R39" s="10" t="str">
        <f t="shared" si="14"/>
        <v/>
      </c>
      <c r="S39" s="11" t="str">
        <f t="shared" si="15"/>
        <v/>
      </c>
      <c r="T39" s="11" t="str">
        <f t="shared" si="16"/>
        <v/>
      </c>
      <c r="U39" s="11" t="str">
        <f t="shared" si="17"/>
        <v/>
      </c>
      <c r="V39" s="11" t="str">
        <f t="shared" si="18"/>
        <v/>
      </c>
      <c r="W39" s="11" t="str">
        <f t="shared" si="19"/>
        <v/>
      </c>
      <c r="X39" s="5"/>
    </row>
    <row r="40" spans="1:24">
      <c r="A40" s="5"/>
      <c r="B40" s="7"/>
      <c r="C40" s="5"/>
      <c r="D40" s="5"/>
      <c r="E40" s="5"/>
      <c r="F40" s="8"/>
      <c r="G40" s="9"/>
      <c r="H40" s="9"/>
      <c r="I40" s="9"/>
      <c r="J40" s="9"/>
      <c r="K40" s="9"/>
      <c r="L40" s="9"/>
      <c r="M40" s="9"/>
      <c r="N40" s="10" t="str">
        <f t="shared" si="10"/>
        <v/>
      </c>
      <c r="O40" s="10" t="str">
        <f t="shared" si="11"/>
        <v/>
      </c>
      <c r="P40" s="10" t="str">
        <f t="shared" si="12"/>
        <v/>
      </c>
      <c r="Q40" s="10" t="str">
        <f t="shared" si="13"/>
        <v/>
      </c>
      <c r="R40" s="10" t="str">
        <f t="shared" si="14"/>
        <v/>
      </c>
      <c r="S40" s="11" t="str">
        <f t="shared" si="15"/>
        <v/>
      </c>
      <c r="T40" s="11" t="str">
        <f t="shared" si="16"/>
        <v/>
      </c>
      <c r="U40" s="11" t="str">
        <f t="shared" si="17"/>
        <v/>
      </c>
      <c r="V40" s="11" t="str">
        <f t="shared" si="18"/>
        <v/>
      </c>
      <c r="W40" s="11" t="str">
        <f t="shared" si="19"/>
        <v/>
      </c>
      <c r="X40" s="5"/>
    </row>
    <row r="41" spans="1:24">
      <c r="A41" s="5"/>
      <c r="B41" s="7"/>
      <c r="C41" s="5"/>
      <c r="D41" s="5"/>
      <c r="E41" s="5"/>
      <c r="F41" s="8"/>
      <c r="G41" s="9"/>
      <c r="H41" s="9"/>
      <c r="I41" s="9"/>
      <c r="J41" s="9"/>
      <c r="K41" s="9"/>
      <c r="L41" s="9"/>
      <c r="M41" s="9"/>
      <c r="N41" s="10" t="str">
        <f t="shared" si="10"/>
        <v/>
      </c>
      <c r="O41" s="10" t="str">
        <f t="shared" si="11"/>
        <v/>
      </c>
      <c r="P41" s="10" t="str">
        <f t="shared" si="12"/>
        <v/>
      </c>
      <c r="Q41" s="10" t="str">
        <f t="shared" si="13"/>
        <v/>
      </c>
      <c r="R41" s="10" t="str">
        <f t="shared" si="14"/>
        <v/>
      </c>
      <c r="S41" s="11" t="str">
        <f t="shared" si="15"/>
        <v/>
      </c>
      <c r="T41" s="11" t="str">
        <f t="shared" si="16"/>
        <v/>
      </c>
      <c r="U41" s="11" t="str">
        <f t="shared" si="17"/>
        <v/>
      </c>
      <c r="V41" s="11" t="str">
        <f t="shared" si="18"/>
        <v/>
      </c>
      <c r="W41" s="11" t="str">
        <f t="shared" si="19"/>
        <v/>
      </c>
      <c r="X41" s="5"/>
    </row>
    <row r="42" spans="1:24">
      <c r="A42" s="5"/>
      <c r="B42" s="7"/>
      <c r="C42" s="5"/>
      <c r="D42" s="5"/>
      <c r="E42" s="5"/>
      <c r="F42" s="8"/>
      <c r="G42" s="9"/>
      <c r="H42" s="9"/>
      <c r="I42" s="9"/>
      <c r="J42" s="9"/>
      <c r="K42" s="9"/>
      <c r="L42" s="9"/>
      <c r="M42" s="9"/>
      <c r="N42" s="10" t="str">
        <f t="shared" si="10"/>
        <v/>
      </c>
      <c r="O42" s="10" t="str">
        <f t="shared" si="11"/>
        <v/>
      </c>
      <c r="P42" s="10" t="str">
        <f t="shared" si="12"/>
        <v/>
      </c>
      <c r="Q42" s="10" t="str">
        <f t="shared" si="13"/>
        <v/>
      </c>
      <c r="R42" s="10" t="str">
        <f t="shared" si="14"/>
        <v/>
      </c>
      <c r="S42" s="11" t="str">
        <f t="shared" si="15"/>
        <v/>
      </c>
      <c r="T42" s="11" t="str">
        <f t="shared" si="16"/>
        <v/>
      </c>
      <c r="U42" s="11" t="str">
        <f t="shared" si="17"/>
        <v/>
      </c>
      <c r="V42" s="11" t="str">
        <f t="shared" si="18"/>
        <v/>
      </c>
      <c r="W42" s="11" t="str">
        <f t="shared" si="19"/>
        <v/>
      </c>
      <c r="X42" s="5"/>
    </row>
    <row r="43" spans="1:24">
      <c r="A43" s="5"/>
      <c r="B43" s="7"/>
      <c r="C43" s="5"/>
      <c r="D43" s="5"/>
      <c r="E43" s="5"/>
      <c r="F43" s="8"/>
      <c r="G43" s="9"/>
      <c r="H43" s="9"/>
      <c r="I43" s="9"/>
      <c r="J43" s="9"/>
      <c r="K43" s="9"/>
      <c r="L43" s="9"/>
      <c r="M43" s="9"/>
      <c r="N43" s="10" t="str">
        <f t="shared" si="10"/>
        <v/>
      </c>
      <c r="O43" s="10" t="str">
        <f t="shared" si="11"/>
        <v/>
      </c>
      <c r="P43" s="10" t="str">
        <f t="shared" si="12"/>
        <v/>
      </c>
      <c r="Q43" s="10" t="str">
        <f t="shared" si="13"/>
        <v/>
      </c>
      <c r="R43" s="10" t="str">
        <f t="shared" si="14"/>
        <v/>
      </c>
      <c r="S43" s="11" t="str">
        <f t="shared" si="15"/>
        <v/>
      </c>
      <c r="T43" s="11" t="str">
        <f t="shared" si="16"/>
        <v/>
      </c>
      <c r="U43" s="11" t="str">
        <f t="shared" si="17"/>
        <v/>
      </c>
      <c r="V43" s="11" t="str">
        <f t="shared" si="18"/>
        <v/>
      </c>
      <c r="W43" s="11" t="str">
        <f t="shared" si="19"/>
        <v/>
      </c>
      <c r="X43" s="5"/>
    </row>
    <row r="44" spans="1:24">
      <c r="A44" s="5"/>
      <c r="B44" s="7"/>
      <c r="C44" s="5"/>
      <c r="D44" s="5"/>
      <c r="E44" s="5"/>
      <c r="F44" s="8"/>
      <c r="G44" s="9"/>
      <c r="H44" s="9"/>
      <c r="I44" s="9"/>
      <c r="J44" s="9"/>
      <c r="K44" s="9"/>
      <c r="L44" s="9"/>
      <c r="M44" s="9"/>
      <c r="N44" s="10" t="str">
        <f t="shared" si="10"/>
        <v/>
      </c>
      <c r="O44" s="10" t="str">
        <f t="shared" si="11"/>
        <v/>
      </c>
      <c r="P44" s="10" t="str">
        <f t="shared" si="12"/>
        <v/>
      </c>
      <c r="Q44" s="10" t="str">
        <f t="shared" si="13"/>
        <v/>
      </c>
      <c r="R44" s="10" t="str">
        <f t="shared" si="14"/>
        <v/>
      </c>
      <c r="S44" s="11" t="str">
        <f t="shared" si="15"/>
        <v/>
      </c>
      <c r="T44" s="11" t="str">
        <f t="shared" si="16"/>
        <v/>
      </c>
      <c r="U44" s="11" t="str">
        <f t="shared" si="17"/>
        <v/>
      </c>
      <c r="V44" s="11" t="str">
        <f t="shared" si="18"/>
        <v/>
      </c>
      <c r="W44" s="11" t="str">
        <f t="shared" si="19"/>
        <v/>
      </c>
      <c r="X44" s="5"/>
    </row>
    <row r="45" spans="1:24">
      <c r="A45" s="5"/>
      <c r="B45" s="7"/>
      <c r="C45" s="5"/>
      <c r="D45" s="5"/>
      <c r="E45" s="5"/>
      <c r="F45" s="8"/>
      <c r="G45" s="9"/>
      <c r="H45" s="9"/>
      <c r="I45" s="9"/>
      <c r="J45" s="9"/>
      <c r="K45" s="9"/>
      <c r="L45" s="9"/>
      <c r="M45" s="9"/>
      <c r="N45" s="10" t="str">
        <f t="shared" si="10"/>
        <v/>
      </c>
      <c r="O45" s="10" t="str">
        <f t="shared" si="11"/>
        <v/>
      </c>
      <c r="P45" s="10" t="str">
        <f t="shared" si="12"/>
        <v/>
      </c>
      <c r="Q45" s="10" t="str">
        <f t="shared" si="13"/>
        <v/>
      </c>
      <c r="R45" s="10" t="str">
        <f t="shared" si="14"/>
        <v/>
      </c>
      <c r="S45" s="11" t="str">
        <f t="shared" si="15"/>
        <v/>
      </c>
      <c r="T45" s="11" t="str">
        <f t="shared" si="16"/>
        <v/>
      </c>
      <c r="U45" s="11" t="str">
        <f t="shared" si="17"/>
        <v/>
      </c>
      <c r="V45" s="11" t="str">
        <f t="shared" si="18"/>
        <v/>
      </c>
      <c r="W45" s="11" t="str">
        <f t="shared" si="19"/>
        <v/>
      </c>
      <c r="X45" s="5"/>
    </row>
    <row r="46" spans="1:24">
      <c r="A46" s="5"/>
      <c r="B46" s="7"/>
      <c r="C46" s="5"/>
      <c r="D46" s="5"/>
      <c r="E46" s="5"/>
      <c r="F46" s="8"/>
      <c r="G46" s="9"/>
      <c r="H46" s="9"/>
      <c r="I46" s="9"/>
      <c r="J46" s="9"/>
      <c r="K46" s="9"/>
      <c r="L46" s="9"/>
      <c r="M46" s="9"/>
      <c r="N46" s="10" t="str">
        <f t="shared" si="10"/>
        <v/>
      </c>
      <c r="O46" s="10" t="str">
        <f t="shared" si="11"/>
        <v/>
      </c>
      <c r="P46" s="10" t="str">
        <f t="shared" si="12"/>
        <v/>
      </c>
      <c r="Q46" s="10" t="str">
        <f t="shared" si="13"/>
        <v/>
      </c>
      <c r="R46" s="10" t="str">
        <f t="shared" si="14"/>
        <v/>
      </c>
      <c r="S46" s="11" t="str">
        <f t="shared" si="15"/>
        <v/>
      </c>
      <c r="T46" s="11" t="str">
        <f t="shared" si="16"/>
        <v/>
      </c>
      <c r="U46" s="11" t="str">
        <f t="shared" si="17"/>
        <v/>
      </c>
      <c r="V46" s="11" t="str">
        <f t="shared" si="18"/>
        <v/>
      </c>
      <c r="W46" s="11" t="str">
        <f t="shared" si="19"/>
        <v/>
      </c>
      <c r="X46" s="5"/>
    </row>
    <row r="47" spans="1:24">
      <c r="A47" s="5"/>
      <c r="B47" s="7"/>
      <c r="C47" s="5"/>
      <c r="D47" s="5"/>
      <c r="E47" s="5"/>
      <c r="F47" s="8"/>
      <c r="G47" s="9"/>
      <c r="H47" s="9"/>
      <c r="I47" s="9"/>
      <c r="J47" s="9"/>
      <c r="K47" s="9"/>
      <c r="L47" s="9"/>
      <c r="M47" s="9"/>
      <c r="N47" s="10" t="str">
        <f t="shared" si="10"/>
        <v/>
      </c>
      <c r="O47" s="10" t="str">
        <f t="shared" si="11"/>
        <v/>
      </c>
      <c r="P47" s="10" t="str">
        <f t="shared" si="12"/>
        <v/>
      </c>
      <c r="Q47" s="10" t="str">
        <f t="shared" si="13"/>
        <v/>
      </c>
      <c r="R47" s="10" t="str">
        <f t="shared" si="14"/>
        <v/>
      </c>
      <c r="S47" s="11" t="str">
        <f t="shared" si="15"/>
        <v/>
      </c>
      <c r="T47" s="11" t="str">
        <f t="shared" si="16"/>
        <v/>
      </c>
      <c r="U47" s="11" t="str">
        <f t="shared" si="17"/>
        <v/>
      </c>
      <c r="V47" s="11" t="str">
        <f t="shared" si="18"/>
        <v/>
      </c>
      <c r="W47" s="11" t="str">
        <f t="shared" si="19"/>
        <v/>
      </c>
      <c r="X47" s="5"/>
    </row>
    <row r="48" spans="1:24">
      <c r="A48" s="5"/>
      <c r="B48" s="7"/>
      <c r="C48" s="5"/>
      <c r="D48" s="5"/>
      <c r="E48" s="5"/>
      <c r="F48" s="8"/>
      <c r="G48" s="9"/>
      <c r="H48" s="9"/>
      <c r="I48" s="9"/>
      <c r="J48" s="9"/>
      <c r="K48" s="9"/>
      <c r="L48" s="9"/>
      <c r="M48" s="9"/>
      <c r="N48" s="10" t="str">
        <f t="shared" si="10"/>
        <v/>
      </c>
      <c r="O48" s="10" t="str">
        <f t="shared" si="11"/>
        <v/>
      </c>
      <c r="P48" s="10" t="str">
        <f t="shared" si="12"/>
        <v/>
      </c>
      <c r="Q48" s="10" t="str">
        <f t="shared" si="13"/>
        <v/>
      </c>
      <c r="R48" s="10" t="str">
        <f t="shared" si="14"/>
        <v/>
      </c>
      <c r="S48" s="11" t="str">
        <f t="shared" si="15"/>
        <v/>
      </c>
      <c r="T48" s="11" t="str">
        <f t="shared" si="16"/>
        <v/>
      </c>
      <c r="U48" s="11" t="str">
        <f t="shared" si="17"/>
        <v/>
      </c>
      <c r="V48" s="11" t="str">
        <f t="shared" si="18"/>
        <v/>
      </c>
      <c r="W48" s="11" t="str">
        <f t="shared" si="19"/>
        <v/>
      </c>
      <c r="X48" s="5"/>
    </row>
    <row r="49" spans="1:24">
      <c r="A49" s="5"/>
      <c r="B49" s="7"/>
      <c r="C49" s="5"/>
      <c r="D49" s="5"/>
      <c r="E49" s="5"/>
      <c r="F49" s="8"/>
      <c r="G49" s="9"/>
      <c r="H49" s="9"/>
      <c r="I49" s="9"/>
      <c r="J49" s="9"/>
      <c r="K49" s="9"/>
      <c r="L49" s="9"/>
      <c r="M49" s="9"/>
      <c r="N49" s="10" t="str">
        <f t="shared" si="10"/>
        <v/>
      </c>
      <c r="O49" s="10" t="str">
        <f t="shared" si="11"/>
        <v/>
      </c>
      <c r="P49" s="10" t="str">
        <f t="shared" si="12"/>
        <v/>
      </c>
      <c r="Q49" s="10" t="str">
        <f t="shared" si="13"/>
        <v/>
      </c>
      <c r="R49" s="10" t="str">
        <f t="shared" si="14"/>
        <v/>
      </c>
      <c r="S49" s="11" t="str">
        <f t="shared" si="15"/>
        <v/>
      </c>
      <c r="T49" s="11" t="str">
        <f t="shared" si="16"/>
        <v/>
      </c>
      <c r="U49" s="11" t="str">
        <f t="shared" si="17"/>
        <v/>
      </c>
      <c r="V49" s="11" t="str">
        <f t="shared" si="18"/>
        <v/>
      </c>
      <c r="W49" s="11" t="str">
        <f t="shared" si="19"/>
        <v/>
      </c>
      <c r="X49" s="5"/>
    </row>
    <row r="50" spans="1:24">
      <c r="A50" s="5"/>
      <c r="B50" s="7"/>
      <c r="C50" s="5"/>
      <c r="D50" s="5"/>
      <c r="E50" s="5"/>
      <c r="F50" s="8"/>
      <c r="G50" s="9"/>
      <c r="H50" s="9"/>
      <c r="I50" s="9"/>
      <c r="J50" s="9"/>
      <c r="K50" s="9"/>
      <c r="L50" s="9"/>
      <c r="M50" s="9"/>
      <c r="N50" s="10" t="str">
        <f t="shared" si="10"/>
        <v/>
      </c>
      <c r="O50" s="10" t="str">
        <f t="shared" si="11"/>
        <v/>
      </c>
      <c r="P50" s="10" t="str">
        <f t="shared" si="12"/>
        <v/>
      </c>
      <c r="Q50" s="10" t="str">
        <f t="shared" si="13"/>
        <v/>
      </c>
      <c r="R50" s="10" t="str">
        <f t="shared" si="14"/>
        <v/>
      </c>
      <c r="S50" s="11" t="str">
        <f t="shared" si="15"/>
        <v/>
      </c>
      <c r="T50" s="11" t="str">
        <f t="shared" si="16"/>
        <v/>
      </c>
      <c r="U50" s="11" t="str">
        <f t="shared" si="17"/>
        <v/>
      </c>
      <c r="V50" s="11" t="str">
        <f t="shared" si="18"/>
        <v/>
      </c>
      <c r="W50" s="11" t="str">
        <f t="shared" si="19"/>
        <v/>
      </c>
      <c r="X50" s="5"/>
    </row>
    <row r="51" spans="1:24">
      <c r="A51" s="5"/>
      <c r="B51" s="7"/>
      <c r="C51" s="5"/>
      <c r="D51" s="5"/>
      <c r="E51" s="5"/>
      <c r="F51" s="8"/>
      <c r="G51" s="9"/>
      <c r="H51" s="9"/>
      <c r="I51" s="9"/>
      <c r="J51" s="9"/>
      <c r="K51" s="9"/>
      <c r="L51" s="9"/>
      <c r="M51" s="9"/>
      <c r="N51" s="10" t="str">
        <f t="shared" si="10"/>
        <v/>
      </c>
      <c r="O51" s="10" t="str">
        <f t="shared" si="11"/>
        <v/>
      </c>
      <c r="P51" s="10" t="str">
        <f t="shared" si="12"/>
        <v/>
      </c>
      <c r="Q51" s="10" t="str">
        <f t="shared" si="13"/>
        <v/>
      </c>
      <c r="R51" s="10" t="str">
        <f t="shared" si="14"/>
        <v/>
      </c>
      <c r="S51" s="11" t="str">
        <f t="shared" si="15"/>
        <v/>
      </c>
      <c r="T51" s="11" t="str">
        <f t="shared" si="16"/>
        <v/>
      </c>
      <c r="U51" s="11" t="str">
        <f t="shared" si="17"/>
        <v/>
      </c>
      <c r="V51" s="11" t="str">
        <f t="shared" si="18"/>
        <v/>
      </c>
      <c r="W51" s="11" t="str">
        <f t="shared" si="19"/>
        <v/>
      </c>
      <c r="X51" s="5"/>
    </row>
    <row r="52" spans="1:24">
      <c r="A52" s="5"/>
      <c r="B52" s="7"/>
      <c r="C52" s="5"/>
      <c r="D52" s="5"/>
      <c r="E52" s="5"/>
      <c r="F52" s="8"/>
      <c r="G52" s="9"/>
      <c r="H52" s="9"/>
      <c r="I52" s="9"/>
      <c r="J52" s="9"/>
      <c r="K52" s="9"/>
      <c r="L52" s="9"/>
      <c r="M52" s="9"/>
      <c r="N52" s="10" t="str">
        <f t="shared" si="10"/>
        <v/>
      </c>
      <c r="O52" s="10" t="str">
        <f t="shared" si="11"/>
        <v/>
      </c>
      <c r="P52" s="10" t="str">
        <f t="shared" si="12"/>
        <v/>
      </c>
      <c r="Q52" s="10" t="str">
        <f t="shared" si="13"/>
        <v/>
      </c>
      <c r="R52" s="10" t="str">
        <f t="shared" si="14"/>
        <v/>
      </c>
      <c r="S52" s="11" t="str">
        <f t="shared" si="15"/>
        <v/>
      </c>
      <c r="T52" s="11" t="str">
        <f t="shared" si="16"/>
        <v/>
      </c>
      <c r="U52" s="11" t="str">
        <f t="shared" si="17"/>
        <v/>
      </c>
      <c r="V52" s="11" t="str">
        <f t="shared" si="18"/>
        <v/>
      </c>
      <c r="W52" s="11" t="str">
        <f t="shared" si="19"/>
        <v/>
      </c>
      <c r="X52" s="5"/>
    </row>
    <row r="53" spans="1:24">
      <c r="A53" s="5"/>
      <c r="B53" s="7"/>
      <c r="C53" s="5"/>
      <c r="D53" s="5"/>
      <c r="E53" s="5"/>
      <c r="F53" s="8"/>
      <c r="G53" s="9"/>
      <c r="H53" s="9"/>
      <c r="I53" s="9"/>
      <c r="J53" s="9"/>
      <c r="K53" s="9"/>
      <c r="L53" s="9"/>
      <c r="M53" s="9"/>
      <c r="N53" s="10" t="str">
        <f t="shared" si="10"/>
        <v/>
      </c>
      <c r="O53" s="10" t="str">
        <f t="shared" si="11"/>
        <v/>
      </c>
      <c r="P53" s="10" t="str">
        <f t="shared" si="12"/>
        <v/>
      </c>
      <c r="Q53" s="10" t="str">
        <f t="shared" si="13"/>
        <v/>
      </c>
      <c r="R53" s="10" t="str">
        <f t="shared" si="14"/>
        <v/>
      </c>
      <c r="S53" s="11" t="str">
        <f t="shared" si="15"/>
        <v/>
      </c>
      <c r="T53" s="11" t="str">
        <f t="shared" si="16"/>
        <v/>
      </c>
      <c r="U53" s="11" t="str">
        <f t="shared" si="17"/>
        <v/>
      </c>
      <c r="V53" s="11" t="str">
        <f t="shared" si="18"/>
        <v/>
      </c>
      <c r="W53" s="11" t="str">
        <f t="shared" si="19"/>
        <v/>
      </c>
      <c r="X53" s="5"/>
    </row>
    <row r="54" spans="1:24">
      <c r="A54" s="5"/>
      <c r="B54" s="7"/>
      <c r="C54" s="5"/>
      <c r="D54" s="5"/>
      <c r="E54" s="5"/>
      <c r="F54" s="8"/>
      <c r="G54" s="9"/>
      <c r="H54" s="9"/>
      <c r="I54" s="9"/>
      <c r="J54" s="9"/>
      <c r="K54" s="9"/>
      <c r="L54" s="9"/>
      <c r="M54" s="9"/>
      <c r="N54" s="10" t="str">
        <f t="shared" si="10"/>
        <v/>
      </c>
      <c r="O54" s="10" t="str">
        <f t="shared" si="11"/>
        <v/>
      </c>
      <c r="P54" s="10" t="str">
        <f t="shared" si="12"/>
        <v/>
      </c>
      <c r="Q54" s="10" t="str">
        <f t="shared" si="13"/>
        <v/>
      </c>
      <c r="R54" s="10" t="str">
        <f t="shared" si="14"/>
        <v/>
      </c>
      <c r="S54" s="11" t="str">
        <f t="shared" si="15"/>
        <v/>
      </c>
      <c r="T54" s="11" t="str">
        <f t="shared" si="16"/>
        <v/>
      </c>
      <c r="U54" s="11" t="str">
        <f t="shared" si="17"/>
        <v/>
      </c>
      <c r="V54" s="11" t="str">
        <f t="shared" si="18"/>
        <v/>
      </c>
      <c r="W54" s="11" t="str">
        <f t="shared" si="19"/>
        <v/>
      </c>
      <c r="X54" s="5"/>
    </row>
    <row r="55" spans="1:24">
      <c r="A55" s="5"/>
      <c r="B55" s="7"/>
      <c r="C55" s="5"/>
      <c r="D55" s="5"/>
      <c r="E55" s="5"/>
      <c r="F55" s="8"/>
      <c r="G55" s="9"/>
      <c r="H55" s="9"/>
      <c r="I55" s="9"/>
      <c r="J55" s="9"/>
      <c r="K55" s="9"/>
      <c r="L55" s="9"/>
      <c r="M55" s="9"/>
      <c r="N55" s="10" t="str">
        <f t="shared" si="10"/>
        <v/>
      </c>
      <c r="O55" s="10" t="str">
        <f t="shared" si="11"/>
        <v/>
      </c>
      <c r="P55" s="10" t="str">
        <f t="shared" si="12"/>
        <v/>
      </c>
      <c r="Q55" s="10" t="str">
        <f t="shared" si="13"/>
        <v/>
      </c>
      <c r="R55" s="10" t="str">
        <f t="shared" si="14"/>
        <v/>
      </c>
      <c r="S55" s="11" t="str">
        <f t="shared" si="15"/>
        <v/>
      </c>
      <c r="T55" s="11" t="str">
        <f t="shared" si="16"/>
        <v/>
      </c>
      <c r="U55" s="11" t="str">
        <f t="shared" si="17"/>
        <v/>
      </c>
      <c r="V55" s="11" t="str">
        <f t="shared" si="18"/>
        <v/>
      </c>
      <c r="W55" s="11" t="str">
        <f t="shared" si="19"/>
        <v/>
      </c>
      <c r="X55" s="5"/>
    </row>
    <row r="56" spans="1:24">
      <c r="A56" s="5"/>
      <c r="B56" s="7"/>
      <c r="C56" s="5"/>
      <c r="D56" s="5"/>
      <c r="E56" s="5"/>
      <c r="F56" s="8"/>
      <c r="G56" s="9"/>
      <c r="H56" s="9"/>
      <c r="I56" s="9"/>
      <c r="J56" s="9"/>
      <c r="K56" s="9"/>
      <c r="L56" s="9"/>
      <c r="M56" s="9"/>
      <c r="N56" s="10" t="str">
        <f t="shared" si="10"/>
        <v/>
      </c>
      <c r="O56" s="10" t="str">
        <f t="shared" si="11"/>
        <v/>
      </c>
      <c r="P56" s="10" t="str">
        <f t="shared" si="12"/>
        <v/>
      </c>
      <c r="Q56" s="10" t="str">
        <f t="shared" si="13"/>
        <v/>
      </c>
      <c r="R56" s="10" t="str">
        <f t="shared" si="14"/>
        <v/>
      </c>
      <c r="S56" s="11" t="str">
        <f t="shared" si="15"/>
        <v/>
      </c>
      <c r="T56" s="11" t="str">
        <f t="shared" si="16"/>
        <v/>
      </c>
      <c r="U56" s="11" t="str">
        <f t="shared" si="17"/>
        <v/>
      </c>
      <c r="V56" s="11" t="str">
        <f t="shared" si="18"/>
        <v/>
      </c>
      <c r="W56" s="11" t="str">
        <f t="shared" si="19"/>
        <v/>
      </c>
      <c r="X56" s="5"/>
    </row>
    <row r="57" spans="1:24">
      <c r="A57" s="5"/>
      <c r="B57" s="7"/>
      <c r="C57" s="5"/>
      <c r="D57" s="5"/>
      <c r="E57" s="5"/>
      <c r="F57" s="8"/>
      <c r="G57" s="9"/>
      <c r="H57" s="9"/>
      <c r="I57" s="9"/>
      <c r="J57" s="9"/>
      <c r="K57" s="9"/>
      <c r="L57" s="9"/>
      <c r="M57" s="9"/>
      <c r="N57" s="10" t="str">
        <f t="shared" si="10"/>
        <v/>
      </c>
      <c r="O57" s="10" t="str">
        <f t="shared" si="11"/>
        <v/>
      </c>
      <c r="P57" s="10" t="str">
        <f t="shared" si="12"/>
        <v/>
      </c>
      <c r="Q57" s="10" t="str">
        <f t="shared" si="13"/>
        <v/>
      </c>
      <c r="R57" s="10" t="str">
        <f t="shared" si="14"/>
        <v/>
      </c>
      <c r="S57" s="11" t="str">
        <f t="shared" si="15"/>
        <v/>
      </c>
      <c r="T57" s="11" t="str">
        <f t="shared" si="16"/>
        <v/>
      </c>
      <c r="U57" s="11" t="str">
        <f t="shared" si="17"/>
        <v/>
      </c>
      <c r="V57" s="11" t="str">
        <f t="shared" si="18"/>
        <v/>
      </c>
      <c r="W57" s="11" t="str">
        <f t="shared" si="19"/>
        <v/>
      </c>
      <c r="X57" s="5"/>
    </row>
    <row r="58" spans="1:24">
      <c r="A58" s="5"/>
      <c r="B58" s="7"/>
      <c r="C58" s="5"/>
      <c r="D58" s="5"/>
      <c r="E58" s="5"/>
      <c r="F58" s="8"/>
      <c r="G58" s="9"/>
      <c r="H58" s="9"/>
      <c r="I58" s="9"/>
      <c r="J58" s="9"/>
      <c r="K58" s="9"/>
      <c r="L58" s="9"/>
      <c r="M58" s="9"/>
      <c r="N58" s="10" t="str">
        <f t="shared" si="10"/>
        <v/>
      </c>
      <c r="O58" s="10" t="str">
        <f t="shared" si="11"/>
        <v/>
      </c>
      <c r="P58" s="10" t="str">
        <f t="shared" si="12"/>
        <v/>
      </c>
      <c r="Q58" s="10" t="str">
        <f t="shared" si="13"/>
        <v/>
      </c>
      <c r="R58" s="10" t="str">
        <f t="shared" si="14"/>
        <v/>
      </c>
      <c r="S58" s="11" t="str">
        <f t="shared" si="15"/>
        <v/>
      </c>
      <c r="T58" s="11" t="str">
        <f t="shared" si="16"/>
        <v/>
      </c>
      <c r="U58" s="11" t="str">
        <f t="shared" si="17"/>
        <v/>
      </c>
      <c r="V58" s="11" t="str">
        <f t="shared" si="18"/>
        <v/>
      </c>
      <c r="W58" s="11" t="str">
        <f t="shared" si="19"/>
        <v/>
      </c>
      <c r="X58" s="5"/>
    </row>
    <row r="59" spans="1:24">
      <c r="A59" s="5"/>
      <c r="B59" s="7"/>
      <c r="C59" s="5"/>
      <c r="D59" s="5"/>
      <c r="E59" s="5"/>
      <c r="F59" s="8"/>
      <c r="G59" s="9"/>
      <c r="H59" s="9"/>
      <c r="I59" s="9"/>
      <c r="J59" s="9"/>
      <c r="K59" s="9"/>
      <c r="L59" s="9"/>
      <c r="M59" s="9"/>
      <c r="N59" s="10" t="str">
        <f t="shared" si="10"/>
        <v/>
      </c>
      <c r="O59" s="10" t="str">
        <f t="shared" si="11"/>
        <v/>
      </c>
      <c r="P59" s="10" t="str">
        <f t="shared" si="12"/>
        <v/>
      </c>
      <c r="Q59" s="10" t="str">
        <f t="shared" si="13"/>
        <v/>
      </c>
      <c r="R59" s="10" t="str">
        <f t="shared" si="14"/>
        <v/>
      </c>
      <c r="S59" s="11" t="str">
        <f t="shared" si="15"/>
        <v/>
      </c>
      <c r="T59" s="11" t="str">
        <f t="shared" si="16"/>
        <v/>
      </c>
      <c r="U59" s="11" t="str">
        <f t="shared" si="17"/>
        <v/>
      </c>
      <c r="V59" s="11" t="str">
        <f t="shared" si="18"/>
        <v/>
      </c>
      <c r="W59" s="11" t="str">
        <f t="shared" si="19"/>
        <v/>
      </c>
      <c r="X59" s="5"/>
    </row>
    <row r="60" spans="1:24">
      <c r="A60" s="5"/>
      <c r="B60" s="7"/>
      <c r="C60" s="5"/>
      <c r="D60" s="5"/>
      <c r="E60" s="5"/>
      <c r="F60" s="8"/>
      <c r="G60" s="9"/>
      <c r="H60" s="9"/>
      <c r="I60" s="9"/>
      <c r="J60" s="9"/>
      <c r="K60" s="9"/>
      <c r="L60" s="9"/>
      <c r="M60" s="9"/>
      <c r="N60" s="10" t="str">
        <f t="shared" si="10"/>
        <v/>
      </c>
      <c r="O60" s="10" t="str">
        <f t="shared" si="11"/>
        <v/>
      </c>
      <c r="P60" s="10" t="str">
        <f t="shared" si="12"/>
        <v/>
      </c>
      <c r="Q60" s="10" t="str">
        <f t="shared" si="13"/>
        <v/>
      </c>
      <c r="R60" s="10" t="str">
        <f t="shared" si="14"/>
        <v/>
      </c>
      <c r="S60" s="11" t="str">
        <f t="shared" si="15"/>
        <v/>
      </c>
      <c r="T60" s="11" t="str">
        <f t="shared" si="16"/>
        <v/>
      </c>
      <c r="U60" s="11" t="str">
        <f t="shared" si="17"/>
        <v/>
      </c>
      <c r="V60" s="11" t="str">
        <f t="shared" si="18"/>
        <v/>
      </c>
      <c r="W60" s="11" t="str">
        <f t="shared" si="19"/>
        <v/>
      </c>
      <c r="X60" s="5"/>
    </row>
    <row r="61" spans="1:24">
      <c r="A61" s="5"/>
      <c r="B61" s="7"/>
      <c r="C61" s="5"/>
      <c r="D61" s="5"/>
      <c r="E61" s="5"/>
      <c r="F61" s="8"/>
      <c r="G61" s="9"/>
      <c r="H61" s="9"/>
      <c r="I61" s="9"/>
      <c r="J61" s="9"/>
      <c r="K61" s="9"/>
      <c r="L61" s="9"/>
      <c r="M61" s="9"/>
      <c r="N61" s="10" t="str">
        <f t="shared" si="10"/>
        <v/>
      </c>
      <c r="O61" s="10" t="str">
        <f t="shared" si="11"/>
        <v/>
      </c>
      <c r="P61" s="10" t="str">
        <f t="shared" si="12"/>
        <v/>
      </c>
      <c r="Q61" s="10" t="str">
        <f t="shared" si="13"/>
        <v/>
      </c>
      <c r="R61" s="10" t="str">
        <f t="shared" si="14"/>
        <v/>
      </c>
      <c r="S61" s="11" t="str">
        <f t="shared" si="15"/>
        <v/>
      </c>
      <c r="T61" s="11" t="str">
        <f t="shared" si="16"/>
        <v/>
      </c>
      <c r="U61" s="11" t="str">
        <f t="shared" si="17"/>
        <v/>
      </c>
      <c r="V61" s="11" t="str">
        <f t="shared" si="18"/>
        <v/>
      </c>
      <c r="W61" s="11" t="str">
        <f t="shared" si="19"/>
        <v/>
      </c>
      <c r="X61" s="5"/>
    </row>
    <row r="62" spans="1:24">
      <c r="A62" s="5"/>
      <c r="B62" s="7"/>
      <c r="C62" s="5"/>
      <c r="D62" s="5"/>
      <c r="E62" s="5"/>
      <c r="F62" s="8"/>
      <c r="G62" s="9"/>
      <c r="H62" s="9"/>
      <c r="I62" s="9"/>
      <c r="J62" s="9"/>
      <c r="K62" s="9"/>
      <c r="L62" s="9"/>
      <c r="M62" s="9"/>
      <c r="N62" s="10" t="str">
        <f t="shared" si="10"/>
        <v/>
      </c>
      <c r="O62" s="10" t="str">
        <f t="shared" si="11"/>
        <v/>
      </c>
      <c r="P62" s="10" t="str">
        <f t="shared" si="12"/>
        <v/>
      </c>
      <c r="Q62" s="10" t="str">
        <f t="shared" si="13"/>
        <v/>
      </c>
      <c r="R62" s="10" t="str">
        <f t="shared" si="14"/>
        <v/>
      </c>
      <c r="S62" s="11" t="str">
        <f t="shared" si="15"/>
        <v/>
      </c>
      <c r="T62" s="11" t="str">
        <f t="shared" si="16"/>
        <v/>
      </c>
      <c r="U62" s="11" t="str">
        <f t="shared" si="17"/>
        <v/>
      </c>
      <c r="V62" s="11" t="str">
        <f t="shared" si="18"/>
        <v/>
      </c>
      <c r="W62" s="11" t="str">
        <f t="shared" si="19"/>
        <v/>
      </c>
      <c r="X62" s="5"/>
    </row>
    <row r="63" spans="1:24">
      <c r="A63" s="5"/>
      <c r="B63" s="7"/>
      <c r="C63" s="5"/>
      <c r="D63" s="5"/>
      <c r="E63" s="5"/>
      <c r="F63" s="8"/>
      <c r="G63" s="9"/>
      <c r="H63" s="9"/>
      <c r="I63" s="9"/>
      <c r="J63" s="9"/>
      <c r="K63" s="9"/>
      <c r="L63" s="9"/>
      <c r="M63" s="9"/>
      <c r="N63" s="10" t="str">
        <f t="shared" si="10"/>
        <v/>
      </c>
      <c r="O63" s="10" t="str">
        <f t="shared" si="11"/>
        <v/>
      </c>
      <c r="P63" s="10" t="str">
        <f t="shared" si="12"/>
        <v/>
      </c>
      <c r="Q63" s="10" t="str">
        <f t="shared" si="13"/>
        <v/>
      </c>
      <c r="R63" s="10" t="str">
        <f t="shared" si="14"/>
        <v/>
      </c>
      <c r="S63" s="11" t="str">
        <f t="shared" si="15"/>
        <v/>
      </c>
      <c r="T63" s="11" t="str">
        <f t="shared" si="16"/>
        <v/>
      </c>
      <c r="U63" s="11" t="str">
        <f t="shared" si="17"/>
        <v/>
      </c>
      <c r="V63" s="11" t="str">
        <f t="shared" si="18"/>
        <v/>
      </c>
      <c r="W63" s="11" t="str">
        <f t="shared" si="19"/>
        <v/>
      </c>
      <c r="X63" s="5"/>
    </row>
    <row r="64" spans="1:24">
      <c r="A64" s="5"/>
      <c r="B64" s="7"/>
      <c r="C64" s="5"/>
      <c r="D64" s="5"/>
      <c r="E64" s="5"/>
      <c r="F64" s="8"/>
      <c r="G64" s="9"/>
      <c r="H64" s="9"/>
      <c r="I64" s="9"/>
      <c r="J64" s="9"/>
      <c r="K64" s="9"/>
      <c r="L64" s="9"/>
      <c r="M64" s="9"/>
      <c r="N64" s="10" t="str">
        <f t="shared" si="10"/>
        <v/>
      </c>
      <c r="O64" s="10" t="str">
        <f t="shared" si="11"/>
        <v/>
      </c>
      <c r="P64" s="10" t="str">
        <f t="shared" si="12"/>
        <v/>
      </c>
      <c r="Q64" s="10" t="str">
        <f t="shared" si="13"/>
        <v/>
      </c>
      <c r="R64" s="10" t="str">
        <f t="shared" si="14"/>
        <v/>
      </c>
      <c r="S64" s="11" t="str">
        <f t="shared" si="15"/>
        <v/>
      </c>
      <c r="T64" s="11" t="str">
        <f t="shared" si="16"/>
        <v/>
      </c>
      <c r="U64" s="11" t="str">
        <f t="shared" si="17"/>
        <v/>
      </c>
      <c r="V64" s="11" t="str">
        <f t="shared" si="18"/>
        <v/>
      </c>
      <c r="W64" s="11" t="str">
        <f t="shared" si="19"/>
        <v/>
      </c>
      <c r="X64" s="5"/>
    </row>
    <row r="65" spans="1:24">
      <c r="A65" s="5"/>
      <c r="B65" s="7"/>
      <c r="C65" s="5"/>
      <c r="D65" s="5"/>
      <c r="E65" s="5"/>
      <c r="F65" s="8"/>
      <c r="G65" s="9"/>
      <c r="H65" s="9"/>
      <c r="I65" s="9"/>
      <c r="J65" s="9"/>
      <c r="K65" s="9"/>
      <c r="L65" s="9"/>
      <c r="M65" s="9"/>
      <c r="N65" s="10" t="str">
        <f t="shared" si="10"/>
        <v/>
      </c>
      <c r="O65" s="10" t="str">
        <f t="shared" si="11"/>
        <v/>
      </c>
      <c r="P65" s="10" t="str">
        <f t="shared" si="12"/>
        <v/>
      </c>
      <c r="Q65" s="10" t="str">
        <f t="shared" si="13"/>
        <v/>
      </c>
      <c r="R65" s="10" t="str">
        <f t="shared" si="14"/>
        <v/>
      </c>
      <c r="S65" s="11" t="str">
        <f t="shared" si="15"/>
        <v/>
      </c>
      <c r="T65" s="11" t="str">
        <f t="shared" si="16"/>
        <v/>
      </c>
      <c r="U65" s="11" t="str">
        <f t="shared" si="17"/>
        <v/>
      </c>
      <c r="V65" s="11" t="str">
        <f t="shared" si="18"/>
        <v/>
      </c>
      <c r="W65" s="11" t="str">
        <f t="shared" si="19"/>
        <v/>
      </c>
      <c r="X65" s="5"/>
    </row>
    <row r="66" spans="1:24">
      <c r="A66" s="5"/>
      <c r="B66" s="7"/>
      <c r="C66" s="5"/>
      <c r="D66" s="5"/>
      <c r="E66" s="5"/>
      <c r="F66" s="8"/>
      <c r="G66" s="9"/>
      <c r="H66" s="9"/>
      <c r="I66" s="9"/>
      <c r="J66" s="9"/>
      <c r="K66" s="9"/>
      <c r="L66" s="9"/>
      <c r="M66" s="9"/>
      <c r="N66" s="10" t="str">
        <f t="shared" si="10"/>
        <v/>
      </c>
      <c r="O66" s="10" t="str">
        <f t="shared" si="11"/>
        <v/>
      </c>
      <c r="P66" s="10" t="str">
        <f t="shared" si="12"/>
        <v/>
      </c>
      <c r="Q66" s="10" t="str">
        <f t="shared" si="13"/>
        <v/>
      </c>
      <c r="R66" s="10" t="str">
        <f t="shared" si="14"/>
        <v/>
      </c>
      <c r="S66" s="11" t="str">
        <f t="shared" si="15"/>
        <v/>
      </c>
      <c r="T66" s="11" t="str">
        <f t="shared" si="16"/>
        <v/>
      </c>
      <c r="U66" s="11" t="str">
        <f t="shared" si="17"/>
        <v/>
      </c>
      <c r="V66" s="11" t="str">
        <f t="shared" si="18"/>
        <v/>
      </c>
      <c r="W66" s="11" t="str">
        <f t="shared" si="19"/>
        <v/>
      </c>
      <c r="X66" s="5"/>
    </row>
    <row r="67" spans="1:24">
      <c r="A67" s="5"/>
      <c r="B67" s="7"/>
      <c r="C67" s="5"/>
      <c r="D67" s="5"/>
      <c r="E67" s="5"/>
      <c r="F67" s="8"/>
      <c r="G67" s="9"/>
      <c r="H67" s="9"/>
      <c r="I67" s="9"/>
      <c r="J67" s="9"/>
      <c r="K67" s="9"/>
      <c r="L67" s="9"/>
      <c r="M67" s="9"/>
      <c r="N67" s="10" t="str">
        <f t="shared" si="10"/>
        <v/>
      </c>
      <c r="O67" s="10" t="str">
        <f t="shared" si="11"/>
        <v/>
      </c>
      <c r="P67" s="10" t="str">
        <f t="shared" si="12"/>
        <v/>
      </c>
      <c r="Q67" s="10" t="str">
        <f t="shared" si="13"/>
        <v/>
      </c>
      <c r="R67" s="10" t="str">
        <f t="shared" si="14"/>
        <v/>
      </c>
      <c r="S67" s="11" t="str">
        <f t="shared" si="15"/>
        <v/>
      </c>
      <c r="T67" s="11" t="str">
        <f t="shared" si="16"/>
        <v/>
      </c>
      <c r="U67" s="11" t="str">
        <f t="shared" si="17"/>
        <v/>
      </c>
      <c r="V67" s="11" t="str">
        <f t="shared" si="18"/>
        <v/>
      </c>
      <c r="W67" s="11" t="str">
        <f t="shared" si="19"/>
        <v/>
      </c>
      <c r="X67" s="5"/>
    </row>
    <row r="68" spans="1:24">
      <c r="A68" s="5"/>
      <c r="B68" s="7"/>
      <c r="C68" s="5"/>
      <c r="D68" s="5"/>
      <c r="E68" s="5"/>
      <c r="F68" s="8"/>
      <c r="G68" s="9"/>
      <c r="H68" s="9"/>
      <c r="I68" s="9"/>
      <c r="J68" s="9"/>
      <c r="K68" s="9"/>
      <c r="L68" s="9"/>
      <c r="M68" s="9"/>
      <c r="N68" s="10" t="str">
        <f t="shared" si="10"/>
        <v/>
      </c>
      <c r="O68" s="10" t="str">
        <f t="shared" si="11"/>
        <v/>
      </c>
      <c r="P68" s="10" t="str">
        <f t="shared" si="12"/>
        <v/>
      </c>
      <c r="Q68" s="10" t="str">
        <f t="shared" si="13"/>
        <v/>
      </c>
      <c r="R68" s="10" t="str">
        <f t="shared" si="14"/>
        <v/>
      </c>
      <c r="S68" s="11" t="str">
        <f t="shared" si="15"/>
        <v/>
      </c>
      <c r="T68" s="11" t="str">
        <f t="shared" si="16"/>
        <v/>
      </c>
      <c r="U68" s="11" t="str">
        <f t="shared" si="17"/>
        <v/>
      </c>
      <c r="V68" s="11" t="str">
        <f t="shared" si="18"/>
        <v/>
      </c>
      <c r="W68" s="11" t="str">
        <f t="shared" si="19"/>
        <v/>
      </c>
      <c r="X68" s="5"/>
    </row>
    <row r="69" spans="1:24">
      <c r="A69" s="5"/>
      <c r="B69" s="7"/>
      <c r="C69" s="5"/>
      <c r="D69" s="5"/>
      <c r="E69" s="5"/>
      <c r="F69" s="8"/>
      <c r="G69" s="9"/>
      <c r="H69" s="9"/>
      <c r="I69" s="9"/>
      <c r="J69" s="9"/>
      <c r="K69" s="9"/>
      <c r="L69" s="9"/>
      <c r="M69" s="9"/>
      <c r="N69" s="10" t="str">
        <f t="shared" ref="N69:N104" si="20">IF(OR($F69="",$F69=0,I69=""),"",I69/$F69)</f>
        <v/>
      </c>
      <c r="O69" s="10" t="str">
        <f t="shared" ref="O69:O104" si="21">IF(OR($F69="",$F69=0,J69=""),"",J69/$F69)</f>
        <v/>
      </c>
      <c r="P69" s="10" t="str">
        <f t="shared" ref="P69:P104" si="22">IF(OR($F69="",$F69=0,K69=""),"",K69/$F69)</f>
        <v/>
      </c>
      <c r="Q69" s="10" t="str">
        <f t="shared" ref="Q69:Q104" si="23">IF(OR($F69="",$F69=0,L69=""),"",L69/$F69)</f>
        <v/>
      </c>
      <c r="R69" s="10" t="str">
        <f t="shared" ref="R69:R104" si="24">IF(OR($F69="",$F69=0,M69=""),"",M69/$F69)</f>
        <v/>
      </c>
      <c r="S69" s="11" t="str">
        <f t="shared" ref="S69:S104" si="25">IF(OR($G69="",N69=""),"",$G69*N69)</f>
        <v/>
      </c>
      <c r="T69" s="11" t="str">
        <f t="shared" ref="T69:T104" si="26">IF(OR($G69="",O69=""),"",$G69*O69)</f>
        <v/>
      </c>
      <c r="U69" s="11" t="str">
        <f t="shared" ref="U69:U104" si="27">IF(OR($G69="",P69=""),"",$G69*P69)</f>
        <v/>
      </c>
      <c r="V69" s="11" t="str">
        <f t="shared" ref="V69:V104" si="28">IF(OR($G69="",Q69=""),"",$G69*Q69)</f>
        <v/>
      </c>
      <c r="W69" s="11" t="str">
        <f t="shared" ref="W69:W104" si="29">IF(OR($G69="",R69=""),"",$G69*R69)</f>
        <v/>
      </c>
      <c r="X69" s="5"/>
    </row>
    <row r="70" spans="1:24">
      <c r="A70" s="5"/>
      <c r="B70" s="7"/>
      <c r="C70" s="5"/>
      <c r="D70" s="5"/>
      <c r="E70" s="5"/>
      <c r="F70" s="8"/>
      <c r="G70" s="9"/>
      <c r="H70" s="9"/>
      <c r="I70" s="9"/>
      <c r="J70" s="9"/>
      <c r="K70" s="9"/>
      <c r="L70" s="9"/>
      <c r="M70" s="9"/>
      <c r="N70" s="10" t="str">
        <f t="shared" si="20"/>
        <v/>
      </c>
      <c r="O70" s="10" t="str">
        <f t="shared" si="21"/>
        <v/>
      </c>
      <c r="P70" s="10" t="str">
        <f t="shared" si="22"/>
        <v/>
      </c>
      <c r="Q70" s="10" t="str">
        <f t="shared" si="23"/>
        <v/>
      </c>
      <c r="R70" s="10" t="str">
        <f t="shared" si="24"/>
        <v/>
      </c>
      <c r="S70" s="11" t="str">
        <f t="shared" si="25"/>
        <v/>
      </c>
      <c r="T70" s="11" t="str">
        <f t="shared" si="26"/>
        <v/>
      </c>
      <c r="U70" s="11" t="str">
        <f t="shared" si="27"/>
        <v/>
      </c>
      <c r="V70" s="11" t="str">
        <f t="shared" si="28"/>
        <v/>
      </c>
      <c r="W70" s="11" t="str">
        <f t="shared" si="29"/>
        <v/>
      </c>
      <c r="X70" s="5"/>
    </row>
    <row r="71" spans="1:24">
      <c r="A71" s="5"/>
      <c r="B71" s="7"/>
      <c r="C71" s="5"/>
      <c r="D71" s="5"/>
      <c r="E71" s="5"/>
      <c r="F71" s="8"/>
      <c r="G71" s="9"/>
      <c r="H71" s="9"/>
      <c r="I71" s="9"/>
      <c r="J71" s="9"/>
      <c r="K71" s="9"/>
      <c r="L71" s="9"/>
      <c r="M71" s="9"/>
      <c r="N71" s="10" t="str">
        <f t="shared" si="20"/>
        <v/>
      </c>
      <c r="O71" s="10" t="str">
        <f t="shared" si="21"/>
        <v/>
      </c>
      <c r="P71" s="10" t="str">
        <f t="shared" si="22"/>
        <v/>
      </c>
      <c r="Q71" s="10" t="str">
        <f t="shared" si="23"/>
        <v/>
      </c>
      <c r="R71" s="10" t="str">
        <f t="shared" si="24"/>
        <v/>
      </c>
      <c r="S71" s="11" t="str">
        <f t="shared" si="25"/>
        <v/>
      </c>
      <c r="T71" s="11" t="str">
        <f t="shared" si="26"/>
        <v/>
      </c>
      <c r="U71" s="11" t="str">
        <f t="shared" si="27"/>
        <v/>
      </c>
      <c r="V71" s="11" t="str">
        <f t="shared" si="28"/>
        <v/>
      </c>
      <c r="W71" s="11" t="str">
        <f t="shared" si="29"/>
        <v/>
      </c>
      <c r="X71" s="5"/>
    </row>
    <row r="72" spans="1:24">
      <c r="A72" s="5"/>
      <c r="B72" s="7"/>
      <c r="C72" s="5"/>
      <c r="D72" s="5"/>
      <c r="E72" s="5"/>
      <c r="F72" s="8"/>
      <c r="G72" s="9"/>
      <c r="H72" s="9"/>
      <c r="I72" s="9"/>
      <c r="J72" s="9"/>
      <c r="K72" s="9"/>
      <c r="L72" s="9"/>
      <c r="M72" s="9"/>
      <c r="N72" s="10" t="str">
        <f t="shared" si="20"/>
        <v/>
      </c>
      <c r="O72" s="10" t="str">
        <f t="shared" si="21"/>
        <v/>
      </c>
      <c r="P72" s="10" t="str">
        <f t="shared" si="22"/>
        <v/>
      </c>
      <c r="Q72" s="10" t="str">
        <f t="shared" si="23"/>
        <v/>
      </c>
      <c r="R72" s="10" t="str">
        <f t="shared" si="24"/>
        <v/>
      </c>
      <c r="S72" s="11" t="str">
        <f t="shared" si="25"/>
        <v/>
      </c>
      <c r="T72" s="11" t="str">
        <f t="shared" si="26"/>
        <v/>
      </c>
      <c r="U72" s="11" t="str">
        <f t="shared" si="27"/>
        <v/>
      </c>
      <c r="V72" s="11" t="str">
        <f t="shared" si="28"/>
        <v/>
      </c>
      <c r="W72" s="11" t="str">
        <f t="shared" si="29"/>
        <v/>
      </c>
      <c r="X72" s="5"/>
    </row>
    <row r="73" spans="1:24">
      <c r="A73" s="5"/>
      <c r="B73" s="7"/>
      <c r="C73" s="5"/>
      <c r="D73" s="5"/>
      <c r="E73" s="5"/>
      <c r="F73" s="8"/>
      <c r="G73" s="9"/>
      <c r="H73" s="9"/>
      <c r="I73" s="9"/>
      <c r="J73" s="9"/>
      <c r="K73" s="9"/>
      <c r="L73" s="9"/>
      <c r="M73" s="9"/>
      <c r="N73" s="10" t="str">
        <f t="shared" si="20"/>
        <v/>
      </c>
      <c r="O73" s="10" t="str">
        <f t="shared" si="21"/>
        <v/>
      </c>
      <c r="P73" s="10" t="str">
        <f t="shared" si="22"/>
        <v/>
      </c>
      <c r="Q73" s="10" t="str">
        <f t="shared" si="23"/>
        <v/>
      </c>
      <c r="R73" s="10" t="str">
        <f t="shared" si="24"/>
        <v/>
      </c>
      <c r="S73" s="11" t="str">
        <f t="shared" si="25"/>
        <v/>
      </c>
      <c r="T73" s="11" t="str">
        <f t="shared" si="26"/>
        <v/>
      </c>
      <c r="U73" s="11" t="str">
        <f t="shared" si="27"/>
        <v/>
      </c>
      <c r="V73" s="11" t="str">
        <f t="shared" si="28"/>
        <v/>
      </c>
      <c r="W73" s="11" t="str">
        <f t="shared" si="29"/>
        <v/>
      </c>
      <c r="X73" s="5"/>
    </row>
    <row r="74" spans="1:24">
      <c r="A74" s="5"/>
      <c r="B74" s="7"/>
      <c r="C74" s="5"/>
      <c r="D74" s="5"/>
      <c r="E74" s="5"/>
      <c r="F74" s="8"/>
      <c r="G74" s="9"/>
      <c r="H74" s="9"/>
      <c r="I74" s="9"/>
      <c r="J74" s="9"/>
      <c r="K74" s="9"/>
      <c r="L74" s="9"/>
      <c r="M74" s="9"/>
      <c r="N74" s="10" t="str">
        <f t="shared" si="20"/>
        <v/>
      </c>
      <c r="O74" s="10" t="str">
        <f t="shared" si="21"/>
        <v/>
      </c>
      <c r="P74" s="10" t="str">
        <f t="shared" si="22"/>
        <v/>
      </c>
      <c r="Q74" s="10" t="str">
        <f t="shared" si="23"/>
        <v/>
      </c>
      <c r="R74" s="10" t="str">
        <f t="shared" si="24"/>
        <v/>
      </c>
      <c r="S74" s="11" t="str">
        <f t="shared" si="25"/>
        <v/>
      </c>
      <c r="T74" s="11" t="str">
        <f t="shared" si="26"/>
        <v/>
      </c>
      <c r="U74" s="11" t="str">
        <f t="shared" si="27"/>
        <v/>
      </c>
      <c r="V74" s="11" t="str">
        <f t="shared" si="28"/>
        <v/>
      </c>
      <c r="W74" s="11" t="str">
        <f t="shared" si="29"/>
        <v/>
      </c>
      <c r="X74" s="5"/>
    </row>
    <row r="75" spans="1:24">
      <c r="A75" s="5"/>
      <c r="B75" s="7"/>
      <c r="C75" s="5"/>
      <c r="D75" s="5"/>
      <c r="E75" s="5"/>
      <c r="F75" s="8"/>
      <c r="G75" s="9"/>
      <c r="H75" s="9"/>
      <c r="I75" s="9"/>
      <c r="J75" s="9"/>
      <c r="K75" s="9"/>
      <c r="L75" s="9"/>
      <c r="M75" s="9"/>
      <c r="N75" s="10" t="str">
        <f t="shared" si="20"/>
        <v/>
      </c>
      <c r="O75" s="10" t="str">
        <f t="shared" si="21"/>
        <v/>
      </c>
      <c r="P75" s="10" t="str">
        <f t="shared" si="22"/>
        <v/>
      </c>
      <c r="Q75" s="10" t="str">
        <f t="shared" si="23"/>
        <v/>
      </c>
      <c r="R75" s="10" t="str">
        <f t="shared" si="24"/>
        <v/>
      </c>
      <c r="S75" s="11" t="str">
        <f t="shared" si="25"/>
        <v/>
      </c>
      <c r="T75" s="11" t="str">
        <f t="shared" si="26"/>
        <v/>
      </c>
      <c r="U75" s="11" t="str">
        <f t="shared" si="27"/>
        <v/>
      </c>
      <c r="V75" s="11" t="str">
        <f t="shared" si="28"/>
        <v/>
      </c>
      <c r="W75" s="11" t="str">
        <f t="shared" si="29"/>
        <v/>
      </c>
      <c r="X75" s="5"/>
    </row>
    <row r="76" spans="1:24">
      <c r="A76" s="5"/>
      <c r="B76" s="7"/>
      <c r="C76" s="5"/>
      <c r="D76" s="5"/>
      <c r="E76" s="5"/>
      <c r="F76" s="8"/>
      <c r="G76" s="9"/>
      <c r="H76" s="9"/>
      <c r="I76" s="9"/>
      <c r="J76" s="9"/>
      <c r="K76" s="9"/>
      <c r="L76" s="9"/>
      <c r="M76" s="9"/>
      <c r="N76" s="10" t="str">
        <f t="shared" si="20"/>
        <v/>
      </c>
      <c r="O76" s="10" t="str">
        <f t="shared" si="21"/>
        <v/>
      </c>
      <c r="P76" s="10" t="str">
        <f t="shared" si="22"/>
        <v/>
      </c>
      <c r="Q76" s="10" t="str">
        <f t="shared" si="23"/>
        <v/>
      </c>
      <c r="R76" s="10" t="str">
        <f t="shared" si="24"/>
        <v/>
      </c>
      <c r="S76" s="11" t="str">
        <f t="shared" si="25"/>
        <v/>
      </c>
      <c r="T76" s="11" t="str">
        <f t="shared" si="26"/>
        <v/>
      </c>
      <c r="U76" s="11" t="str">
        <f t="shared" si="27"/>
        <v/>
      </c>
      <c r="V76" s="11" t="str">
        <f t="shared" si="28"/>
        <v/>
      </c>
      <c r="W76" s="11" t="str">
        <f t="shared" si="29"/>
        <v/>
      </c>
      <c r="X76" s="5"/>
    </row>
    <row r="77" spans="1:24">
      <c r="A77" s="5"/>
      <c r="B77" s="7"/>
      <c r="C77" s="5"/>
      <c r="D77" s="5"/>
      <c r="E77" s="5"/>
      <c r="F77" s="8"/>
      <c r="G77" s="9"/>
      <c r="H77" s="9"/>
      <c r="I77" s="9"/>
      <c r="J77" s="9"/>
      <c r="K77" s="9"/>
      <c r="L77" s="9"/>
      <c r="M77" s="9"/>
      <c r="N77" s="10" t="str">
        <f t="shared" si="20"/>
        <v/>
      </c>
      <c r="O77" s="10" t="str">
        <f t="shared" si="21"/>
        <v/>
      </c>
      <c r="P77" s="10" t="str">
        <f t="shared" si="22"/>
        <v/>
      </c>
      <c r="Q77" s="10" t="str">
        <f t="shared" si="23"/>
        <v/>
      </c>
      <c r="R77" s="10" t="str">
        <f t="shared" si="24"/>
        <v/>
      </c>
      <c r="S77" s="11" t="str">
        <f t="shared" si="25"/>
        <v/>
      </c>
      <c r="T77" s="11" t="str">
        <f t="shared" si="26"/>
        <v/>
      </c>
      <c r="U77" s="11" t="str">
        <f t="shared" si="27"/>
        <v/>
      </c>
      <c r="V77" s="11" t="str">
        <f t="shared" si="28"/>
        <v/>
      </c>
      <c r="W77" s="11" t="str">
        <f t="shared" si="29"/>
        <v/>
      </c>
      <c r="X77" s="5"/>
    </row>
    <row r="78" spans="1:24">
      <c r="A78" s="5"/>
      <c r="B78" s="7"/>
      <c r="C78" s="5"/>
      <c r="D78" s="5"/>
      <c r="E78" s="5"/>
      <c r="F78" s="8"/>
      <c r="G78" s="9"/>
      <c r="H78" s="9"/>
      <c r="I78" s="9"/>
      <c r="J78" s="9"/>
      <c r="K78" s="9"/>
      <c r="L78" s="9"/>
      <c r="M78" s="9"/>
      <c r="N78" s="10" t="str">
        <f t="shared" si="20"/>
        <v/>
      </c>
      <c r="O78" s="10" t="str">
        <f t="shared" si="21"/>
        <v/>
      </c>
      <c r="P78" s="10" t="str">
        <f t="shared" si="22"/>
        <v/>
      </c>
      <c r="Q78" s="10" t="str">
        <f t="shared" si="23"/>
        <v/>
      </c>
      <c r="R78" s="10" t="str">
        <f t="shared" si="24"/>
        <v/>
      </c>
      <c r="S78" s="11" t="str">
        <f t="shared" si="25"/>
        <v/>
      </c>
      <c r="T78" s="11" t="str">
        <f t="shared" si="26"/>
        <v/>
      </c>
      <c r="U78" s="11" t="str">
        <f t="shared" si="27"/>
        <v/>
      </c>
      <c r="V78" s="11" t="str">
        <f t="shared" si="28"/>
        <v/>
      </c>
      <c r="W78" s="11" t="str">
        <f t="shared" si="29"/>
        <v/>
      </c>
      <c r="X78" s="5"/>
    </row>
    <row r="79" spans="1:24">
      <c r="A79" s="5"/>
      <c r="B79" s="7"/>
      <c r="C79" s="5"/>
      <c r="D79" s="5"/>
      <c r="E79" s="5"/>
      <c r="F79" s="8"/>
      <c r="G79" s="9"/>
      <c r="H79" s="9"/>
      <c r="I79" s="9"/>
      <c r="J79" s="9"/>
      <c r="K79" s="9"/>
      <c r="L79" s="9"/>
      <c r="M79" s="9"/>
      <c r="N79" s="10" t="str">
        <f t="shared" si="20"/>
        <v/>
      </c>
      <c r="O79" s="10" t="str">
        <f t="shared" si="21"/>
        <v/>
      </c>
      <c r="P79" s="10" t="str">
        <f t="shared" si="22"/>
        <v/>
      </c>
      <c r="Q79" s="10" t="str">
        <f t="shared" si="23"/>
        <v/>
      </c>
      <c r="R79" s="10" t="str">
        <f t="shared" si="24"/>
        <v/>
      </c>
      <c r="S79" s="11" t="str">
        <f t="shared" si="25"/>
        <v/>
      </c>
      <c r="T79" s="11" t="str">
        <f t="shared" si="26"/>
        <v/>
      </c>
      <c r="U79" s="11" t="str">
        <f t="shared" si="27"/>
        <v/>
      </c>
      <c r="V79" s="11" t="str">
        <f t="shared" si="28"/>
        <v/>
      </c>
      <c r="W79" s="11" t="str">
        <f t="shared" si="29"/>
        <v/>
      </c>
      <c r="X79" s="5"/>
    </row>
    <row r="80" spans="1:24">
      <c r="A80" s="5"/>
      <c r="B80" s="7"/>
      <c r="C80" s="5"/>
      <c r="D80" s="5"/>
      <c r="E80" s="5"/>
      <c r="F80" s="8"/>
      <c r="G80" s="9"/>
      <c r="H80" s="9"/>
      <c r="I80" s="9"/>
      <c r="J80" s="9"/>
      <c r="K80" s="9"/>
      <c r="L80" s="9"/>
      <c r="M80" s="9"/>
      <c r="N80" s="10" t="str">
        <f t="shared" si="20"/>
        <v/>
      </c>
      <c r="O80" s="10" t="str">
        <f t="shared" si="21"/>
        <v/>
      </c>
      <c r="P80" s="10" t="str">
        <f t="shared" si="22"/>
        <v/>
      </c>
      <c r="Q80" s="10" t="str">
        <f t="shared" si="23"/>
        <v/>
      </c>
      <c r="R80" s="10" t="str">
        <f t="shared" si="24"/>
        <v/>
      </c>
      <c r="S80" s="11" t="str">
        <f t="shared" si="25"/>
        <v/>
      </c>
      <c r="T80" s="11" t="str">
        <f t="shared" si="26"/>
        <v/>
      </c>
      <c r="U80" s="11" t="str">
        <f t="shared" si="27"/>
        <v/>
      </c>
      <c r="V80" s="11" t="str">
        <f t="shared" si="28"/>
        <v/>
      </c>
      <c r="W80" s="11" t="str">
        <f t="shared" si="29"/>
        <v/>
      </c>
      <c r="X80" s="5"/>
    </row>
    <row r="81" spans="1:24">
      <c r="A81" s="5"/>
      <c r="B81" s="7"/>
      <c r="C81" s="5"/>
      <c r="D81" s="5"/>
      <c r="E81" s="5"/>
      <c r="F81" s="8"/>
      <c r="G81" s="9"/>
      <c r="H81" s="9"/>
      <c r="I81" s="9"/>
      <c r="J81" s="9"/>
      <c r="K81" s="9"/>
      <c r="L81" s="9"/>
      <c r="M81" s="9"/>
      <c r="N81" s="10" t="str">
        <f t="shared" si="20"/>
        <v/>
      </c>
      <c r="O81" s="10" t="str">
        <f t="shared" si="21"/>
        <v/>
      </c>
      <c r="P81" s="10" t="str">
        <f t="shared" si="22"/>
        <v/>
      </c>
      <c r="Q81" s="10" t="str">
        <f t="shared" si="23"/>
        <v/>
      </c>
      <c r="R81" s="10" t="str">
        <f t="shared" si="24"/>
        <v/>
      </c>
      <c r="S81" s="11" t="str">
        <f t="shared" si="25"/>
        <v/>
      </c>
      <c r="T81" s="11" t="str">
        <f t="shared" si="26"/>
        <v/>
      </c>
      <c r="U81" s="11" t="str">
        <f t="shared" si="27"/>
        <v/>
      </c>
      <c r="V81" s="11" t="str">
        <f t="shared" si="28"/>
        <v/>
      </c>
      <c r="W81" s="11" t="str">
        <f t="shared" si="29"/>
        <v/>
      </c>
      <c r="X81" s="5"/>
    </row>
    <row r="82" spans="1:24">
      <c r="A82" s="5"/>
      <c r="B82" s="7"/>
      <c r="C82" s="5"/>
      <c r="D82" s="5"/>
      <c r="E82" s="5"/>
      <c r="F82" s="8"/>
      <c r="G82" s="9"/>
      <c r="H82" s="9"/>
      <c r="I82" s="9"/>
      <c r="J82" s="9"/>
      <c r="K82" s="9"/>
      <c r="L82" s="9"/>
      <c r="M82" s="9"/>
      <c r="N82" s="10" t="str">
        <f t="shared" si="20"/>
        <v/>
      </c>
      <c r="O82" s="10" t="str">
        <f t="shared" si="21"/>
        <v/>
      </c>
      <c r="P82" s="10" t="str">
        <f t="shared" si="22"/>
        <v/>
      </c>
      <c r="Q82" s="10" t="str">
        <f t="shared" si="23"/>
        <v/>
      </c>
      <c r="R82" s="10" t="str">
        <f t="shared" si="24"/>
        <v/>
      </c>
      <c r="S82" s="11" t="str">
        <f t="shared" si="25"/>
        <v/>
      </c>
      <c r="T82" s="11" t="str">
        <f t="shared" si="26"/>
        <v/>
      </c>
      <c r="U82" s="11" t="str">
        <f t="shared" si="27"/>
        <v/>
      </c>
      <c r="V82" s="11" t="str">
        <f t="shared" si="28"/>
        <v/>
      </c>
      <c r="W82" s="11" t="str">
        <f t="shared" si="29"/>
        <v/>
      </c>
      <c r="X82" s="5"/>
    </row>
    <row r="83" spans="1:24">
      <c r="A83" s="5"/>
      <c r="B83" s="7"/>
      <c r="C83" s="5"/>
      <c r="D83" s="5"/>
      <c r="E83" s="5"/>
      <c r="F83" s="8"/>
      <c r="G83" s="9"/>
      <c r="H83" s="9"/>
      <c r="I83" s="9"/>
      <c r="J83" s="9"/>
      <c r="K83" s="9"/>
      <c r="L83" s="9"/>
      <c r="M83" s="9"/>
      <c r="N83" s="10" t="str">
        <f t="shared" si="20"/>
        <v/>
      </c>
      <c r="O83" s="10" t="str">
        <f t="shared" si="21"/>
        <v/>
      </c>
      <c r="P83" s="10" t="str">
        <f t="shared" si="22"/>
        <v/>
      </c>
      <c r="Q83" s="10" t="str">
        <f t="shared" si="23"/>
        <v/>
      </c>
      <c r="R83" s="10" t="str">
        <f t="shared" si="24"/>
        <v/>
      </c>
      <c r="S83" s="11" t="str">
        <f t="shared" si="25"/>
        <v/>
      </c>
      <c r="T83" s="11" t="str">
        <f t="shared" si="26"/>
        <v/>
      </c>
      <c r="U83" s="11" t="str">
        <f t="shared" si="27"/>
        <v/>
      </c>
      <c r="V83" s="11" t="str">
        <f t="shared" si="28"/>
        <v/>
      </c>
      <c r="W83" s="11" t="str">
        <f t="shared" si="29"/>
        <v/>
      </c>
      <c r="X83" s="5"/>
    </row>
    <row r="84" spans="1:24">
      <c r="A84" s="5"/>
      <c r="B84" s="7"/>
      <c r="C84" s="5"/>
      <c r="D84" s="5"/>
      <c r="E84" s="5"/>
      <c r="F84" s="8"/>
      <c r="G84" s="9"/>
      <c r="H84" s="9"/>
      <c r="I84" s="9"/>
      <c r="J84" s="9"/>
      <c r="K84" s="9"/>
      <c r="L84" s="9"/>
      <c r="M84" s="9"/>
      <c r="N84" s="10" t="str">
        <f t="shared" si="20"/>
        <v/>
      </c>
      <c r="O84" s="10" t="str">
        <f t="shared" si="21"/>
        <v/>
      </c>
      <c r="P84" s="10" t="str">
        <f t="shared" si="22"/>
        <v/>
      </c>
      <c r="Q84" s="10" t="str">
        <f t="shared" si="23"/>
        <v/>
      </c>
      <c r="R84" s="10" t="str">
        <f t="shared" si="24"/>
        <v/>
      </c>
      <c r="S84" s="11" t="str">
        <f t="shared" si="25"/>
        <v/>
      </c>
      <c r="T84" s="11" t="str">
        <f t="shared" si="26"/>
        <v/>
      </c>
      <c r="U84" s="11" t="str">
        <f t="shared" si="27"/>
        <v/>
      </c>
      <c r="V84" s="11" t="str">
        <f t="shared" si="28"/>
        <v/>
      </c>
      <c r="W84" s="11" t="str">
        <f t="shared" si="29"/>
        <v/>
      </c>
      <c r="X84" s="5"/>
    </row>
    <row r="85" spans="1:24">
      <c r="A85" s="5"/>
      <c r="B85" s="7"/>
      <c r="C85" s="5"/>
      <c r="D85" s="5"/>
      <c r="E85" s="5"/>
      <c r="F85" s="8"/>
      <c r="G85" s="9"/>
      <c r="H85" s="9"/>
      <c r="I85" s="9"/>
      <c r="J85" s="9"/>
      <c r="K85" s="9"/>
      <c r="L85" s="9"/>
      <c r="M85" s="9"/>
      <c r="N85" s="10" t="str">
        <f t="shared" si="20"/>
        <v/>
      </c>
      <c r="O85" s="10" t="str">
        <f t="shared" si="21"/>
        <v/>
      </c>
      <c r="P85" s="10" t="str">
        <f t="shared" si="22"/>
        <v/>
      </c>
      <c r="Q85" s="10" t="str">
        <f t="shared" si="23"/>
        <v/>
      </c>
      <c r="R85" s="10" t="str">
        <f t="shared" si="24"/>
        <v/>
      </c>
      <c r="S85" s="11" t="str">
        <f t="shared" si="25"/>
        <v/>
      </c>
      <c r="T85" s="11" t="str">
        <f t="shared" si="26"/>
        <v/>
      </c>
      <c r="U85" s="11" t="str">
        <f t="shared" si="27"/>
        <v/>
      </c>
      <c r="V85" s="11" t="str">
        <f t="shared" si="28"/>
        <v/>
      </c>
      <c r="W85" s="11" t="str">
        <f t="shared" si="29"/>
        <v/>
      </c>
      <c r="X85" s="5"/>
    </row>
    <row r="86" spans="1:24">
      <c r="A86" s="5"/>
      <c r="B86" s="7"/>
      <c r="C86" s="5"/>
      <c r="D86" s="5"/>
      <c r="E86" s="5"/>
      <c r="F86" s="8"/>
      <c r="G86" s="9"/>
      <c r="H86" s="9"/>
      <c r="I86" s="9"/>
      <c r="J86" s="9"/>
      <c r="K86" s="9"/>
      <c r="L86" s="9"/>
      <c r="M86" s="9"/>
      <c r="N86" s="10" t="str">
        <f t="shared" si="20"/>
        <v/>
      </c>
      <c r="O86" s="10" t="str">
        <f t="shared" si="21"/>
        <v/>
      </c>
      <c r="P86" s="10" t="str">
        <f t="shared" si="22"/>
        <v/>
      </c>
      <c r="Q86" s="10" t="str">
        <f t="shared" si="23"/>
        <v/>
      </c>
      <c r="R86" s="10" t="str">
        <f t="shared" si="24"/>
        <v/>
      </c>
      <c r="S86" s="11" t="str">
        <f t="shared" si="25"/>
        <v/>
      </c>
      <c r="T86" s="11" t="str">
        <f t="shared" si="26"/>
        <v/>
      </c>
      <c r="U86" s="11" t="str">
        <f t="shared" si="27"/>
        <v/>
      </c>
      <c r="V86" s="11" t="str">
        <f t="shared" si="28"/>
        <v/>
      </c>
      <c r="W86" s="11" t="str">
        <f t="shared" si="29"/>
        <v/>
      </c>
      <c r="X86" s="5"/>
    </row>
    <row r="87" spans="1:24">
      <c r="A87" s="5"/>
      <c r="B87" s="7"/>
      <c r="C87" s="5"/>
      <c r="D87" s="5"/>
      <c r="E87" s="5"/>
      <c r="F87" s="8"/>
      <c r="G87" s="9"/>
      <c r="H87" s="9"/>
      <c r="I87" s="9"/>
      <c r="J87" s="9"/>
      <c r="K87" s="9"/>
      <c r="L87" s="9"/>
      <c r="M87" s="9"/>
      <c r="N87" s="10" t="str">
        <f t="shared" si="20"/>
        <v/>
      </c>
      <c r="O87" s="10" t="str">
        <f t="shared" si="21"/>
        <v/>
      </c>
      <c r="P87" s="10" t="str">
        <f t="shared" si="22"/>
        <v/>
      </c>
      <c r="Q87" s="10" t="str">
        <f t="shared" si="23"/>
        <v/>
      </c>
      <c r="R87" s="10" t="str">
        <f t="shared" si="24"/>
        <v/>
      </c>
      <c r="S87" s="11" t="str">
        <f t="shared" si="25"/>
        <v/>
      </c>
      <c r="T87" s="11" t="str">
        <f t="shared" si="26"/>
        <v/>
      </c>
      <c r="U87" s="11" t="str">
        <f t="shared" si="27"/>
        <v/>
      </c>
      <c r="V87" s="11" t="str">
        <f t="shared" si="28"/>
        <v/>
      </c>
      <c r="W87" s="11" t="str">
        <f t="shared" si="29"/>
        <v/>
      </c>
      <c r="X87" s="5"/>
    </row>
    <row r="88" spans="1:24">
      <c r="A88" s="5"/>
      <c r="B88" s="7"/>
      <c r="C88" s="5"/>
      <c r="D88" s="5"/>
      <c r="E88" s="5"/>
      <c r="F88" s="8"/>
      <c r="G88" s="9"/>
      <c r="H88" s="9"/>
      <c r="I88" s="9"/>
      <c r="J88" s="9"/>
      <c r="K88" s="9"/>
      <c r="L88" s="9"/>
      <c r="M88" s="9"/>
      <c r="N88" s="10" t="str">
        <f t="shared" si="20"/>
        <v/>
      </c>
      <c r="O88" s="10" t="str">
        <f t="shared" si="21"/>
        <v/>
      </c>
      <c r="P88" s="10" t="str">
        <f t="shared" si="22"/>
        <v/>
      </c>
      <c r="Q88" s="10" t="str">
        <f t="shared" si="23"/>
        <v/>
      </c>
      <c r="R88" s="10" t="str">
        <f t="shared" si="24"/>
        <v/>
      </c>
      <c r="S88" s="11" t="str">
        <f t="shared" si="25"/>
        <v/>
      </c>
      <c r="T88" s="11" t="str">
        <f t="shared" si="26"/>
        <v/>
      </c>
      <c r="U88" s="11" t="str">
        <f t="shared" si="27"/>
        <v/>
      </c>
      <c r="V88" s="11" t="str">
        <f t="shared" si="28"/>
        <v/>
      </c>
      <c r="W88" s="11" t="str">
        <f t="shared" si="29"/>
        <v/>
      </c>
      <c r="X88" s="5"/>
    </row>
    <row r="89" spans="1:24">
      <c r="A89" s="5"/>
      <c r="B89" s="7"/>
      <c r="C89" s="5"/>
      <c r="D89" s="5"/>
      <c r="E89" s="5"/>
      <c r="F89" s="8"/>
      <c r="G89" s="9"/>
      <c r="H89" s="9"/>
      <c r="I89" s="9"/>
      <c r="J89" s="9"/>
      <c r="K89" s="9"/>
      <c r="L89" s="9"/>
      <c r="M89" s="9"/>
      <c r="N89" s="10" t="str">
        <f t="shared" si="20"/>
        <v/>
      </c>
      <c r="O89" s="10" t="str">
        <f t="shared" si="21"/>
        <v/>
      </c>
      <c r="P89" s="10" t="str">
        <f t="shared" si="22"/>
        <v/>
      </c>
      <c r="Q89" s="10" t="str">
        <f t="shared" si="23"/>
        <v/>
      </c>
      <c r="R89" s="10" t="str">
        <f t="shared" si="24"/>
        <v/>
      </c>
      <c r="S89" s="11" t="str">
        <f t="shared" si="25"/>
        <v/>
      </c>
      <c r="T89" s="11" t="str">
        <f t="shared" si="26"/>
        <v/>
      </c>
      <c r="U89" s="11" t="str">
        <f t="shared" si="27"/>
        <v/>
      </c>
      <c r="V89" s="11" t="str">
        <f t="shared" si="28"/>
        <v/>
      </c>
      <c r="W89" s="11" t="str">
        <f t="shared" si="29"/>
        <v/>
      </c>
      <c r="X89" s="5"/>
    </row>
    <row r="90" spans="1:24">
      <c r="A90" s="5"/>
      <c r="B90" s="7"/>
      <c r="C90" s="5"/>
      <c r="D90" s="5"/>
      <c r="E90" s="5"/>
      <c r="F90" s="8"/>
      <c r="G90" s="9"/>
      <c r="H90" s="9"/>
      <c r="I90" s="9"/>
      <c r="J90" s="9"/>
      <c r="K90" s="9"/>
      <c r="L90" s="9"/>
      <c r="M90" s="9"/>
      <c r="N90" s="10" t="str">
        <f t="shared" si="20"/>
        <v/>
      </c>
      <c r="O90" s="10" t="str">
        <f t="shared" si="21"/>
        <v/>
      </c>
      <c r="P90" s="10" t="str">
        <f t="shared" si="22"/>
        <v/>
      </c>
      <c r="Q90" s="10" t="str">
        <f t="shared" si="23"/>
        <v/>
      </c>
      <c r="R90" s="10" t="str">
        <f t="shared" si="24"/>
        <v/>
      </c>
      <c r="S90" s="11" t="str">
        <f t="shared" si="25"/>
        <v/>
      </c>
      <c r="T90" s="11" t="str">
        <f t="shared" si="26"/>
        <v/>
      </c>
      <c r="U90" s="11" t="str">
        <f t="shared" si="27"/>
        <v/>
      </c>
      <c r="V90" s="11" t="str">
        <f t="shared" si="28"/>
        <v/>
      </c>
      <c r="W90" s="11" t="str">
        <f t="shared" si="29"/>
        <v/>
      </c>
      <c r="X90" s="5"/>
    </row>
    <row r="91" spans="1:24">
      <c r="A91" s="5"/>
      <c r="B91" s="7"/>
      <c r="C91" s="5"/>
      <c r="D91" s="5"/>
      <c r="E91" s="5"/>
      <c r="F91" s="8"/>
      <c r="G91" s="9"/>
      <c r="H91" s="9"/>
      <c r="I91" s="9"/>
      <c r="J91" s="9"/>
      <c r="K91" s="9"/>
      <c r="L91" s="9"/>
      <c r="M91" s="9"/>
      <c r="N91" s="10" t="str">
        <f t="shared" si="20"/>
        <v/>
      </c>
      <c r="O91" s="10" t="str">
        <f t="shared" si="21"/>
        <v/>
      </c>
      <c r="P91" s="10" t="str">
        <f t="shared" si="22"/>
        <v/>
      </c>
      <c r="Q91" s="10" t="str">
        <f t="shared" si="23"/>
        <v/>
      </c>
      <c r="R91" s="10" t="str">
        <f t="shared" si="24"/>
        <v/>
      </c>
      <c r="S91" s="11" t="str">
        <f t="shared" si="25"/>
        <v/>
      </c>
      <c r="T91" s="11" t="str">
        <f t="shared" si="26"/>
        <v/>
      </c>
      <c r="U91" s="11" t="str">
        <f t="shared" si="27"/>
        <v/>
      </c>
      <c r="V91" s="11" t="str">
        <f t="shared" si="28"/>
        <v/>
      </c>
      <c r="W91" s="11" t="str">
        <f t="shared" si="29"/>
        <v/>
      </c>
      <c r="X91" s="5"/>
    </row>
    <row r="92" spans="1:24">
      <c r="A92" s="5"/>
      <c r="B92" s="7"/>
      <c r="C92" s="5"/>
      <c r="D92" s="5"/>
      <c r="E92" s="5"/>
      <c r="F92" s="8"/>
      <c r="G92" s="9"/>
      <c r="H92" s="9"/>
      <c r="I92" s="9"/>
      <c r="J92" s="9"/>
      <c r="K92" s="9"/>
      <c r="L92" s="9"/>
      <c r="M92" s="9"/>
      <c r="N92" s="10" t="str">
        <f t="shared" si="20"/>
        <v/>
      </c>
      <c r="O92" s="10" t="str">
        <f t="shared" si="21"/>
        <v/>
      </c>
      <c r="P92" s="10" t="str">
        <f t="shared" si="22"/>
        <v/>
      </c>
      <c r="Q92" s="10" t="str">
        <f t="shared" si="23"/>
        <v/>
      </c>
      <c r="R92" s="10" t="str">
        <f t="shared" si="24"/>
        <v/>
      </c>
      <c r="S92" s="11" t="str">
        <f t="shared" si="25"/>
        <v/>
      </c>
      <c r="T92" s="11" t="str">
        <f t="shared" si="26"/>
        <v/>
      </c>
      <c r="U92" s="11" t="str">
        <f t="shared" si="27"/>
        <v/>
      </c>
      <c r="V92" s="11" t="str">
        <f t="shared" si="28"/>
        <v/>
      </c>
      <c r="W92" s="11" t="str">
        <f t="shared" si="29"/>
        <v/>
      </c>
      <c r="X92" s="5"/>
    </row>
    <row r="93" spans="1:24">
      <c r="A93" s="5"/>
      <c r="B93" s="7"/>
      <c r="C93" s="5"/>
      <c r="D93" s="5"/>
      <c r="E93" s="5"/>
      <c r="F93" s="8"/>
      <c r="G93" s="9"/>
      <c r="H93" s="9"/>
      <c r="I93" s="9"/>
      <c r="J93" s="9"/>
      <c r="K93" s="9"/>
      <c r="L93" s="9"/>
      <c r="M93" s="9"/>
      <c r="N93" s="10" t="str">
        <f t="shared" si="20"/>
        <v/>
      </c>
      <c r="O93" s="10" t="str">
        <f t="shared" si="21"/>
        <v/>
      </c>
      <c r="P93" s="10" t="str">
        <f t="shared" si="22"/>
        <v/>
      </c>
      <c r="Q93" s="10" t="str">
        <f t="shared" si="23"/>
        <v/>
      </c>
      <c r="R93" s="10" t="str">
        <f t="shared" si="24"/>
        <v/>
      </c>
      <c r="S93" s="11" t="str">
        <f t="shared" si="25"/>
        <v/>
      </c>
      <c r="T93" s="11" t="str">
        <f t="shared" si="26"/>
        <v/>
      </c>
      <c r="U93" s="11" t="str">
        <f t="shared" si="27"/>
        <v/>
      </c>
      <c r="V93" s="11" t="str">
        <f t="shared" si="28"/>
        <v/>
      </c>
      <c r="W93" s="11" t="str">
        <f t="shared" si="29"/>
        <v/>
      </c>
      <c r="X93" s="5"/>
    </row>
    <row r="94" spans="1:24">
      <c r="A94" s="5"/>
      <c r="B94" s="7"/>
      <c r="C94" s="5"/>
      <c r="D94" s="5"/>
      <c r="E94" s="5"/>
      <c r="F94" s="8"/>
      <c r="G94" s="9"/>
      <c r="H94" s="9"/>
      <c r="I94" s="9"/>
      <c r="J94" s="9"/>
      <c r="K94" s="9"/>
      <c r="L94" s="9"/>
      <c r="M94" s="9"/>
      <c r="N94" s="10" t="str">
        <f t="shared" si="20"/>
        <v/>
      </c>
      <c r="O94" s="10" t="str">
        <f t="shared" si="21"/>
        <v/>
      </c>
      <c r="P94" s="10" t="str">
        <f t="shared" si="22"/>
        <v/>
      </c>
      <c r="Q94" s="10" t="str">
        <f t="shared" si="23"/>
        <v/>
      </c>
      <c r="R94" s="10" t="str">
        <f t="shared" si="24"/>
        <v/>
      </c>
      <c r="S94" s="11" t="str">
        <f t="shared" si="25"/>
        <v/>
      </c>
      <c r="T94" s="11" t="str">
        <f t="shared" si="26"/>
        <v/>
      </c>
      <c r="U94" s="11" t="str">
        <f t="shared" si="27"/>
        <v/>
      </c>
      <c r="V94" s="11" t="str">
        <f t="shared" si="28"/>
        <v/>
      </c>
      <c r="W94" s="11" t="str">
        <f t="shared" si="29"/>
        <v/>
      </c>
      <c r="X94" s="5"/>
    </row>
    <row r="95" spans="1:24">
      <c r="A95" s="5"/>
      <c r="B95" s="7"/>
      <c r="C95" s="5"/>
      <c r="D95" s="5"/>
      <c r="E95" s="5"/>
      <c r="F95" s="8"/>
      <c r="G95" s="9"/>
      <c r="H95" s="9"/>
      <c r="I95" s="9"/>
      <c r="J95" s="9"/>
      <c r="K95" s="9"/>
      <c r="L95" s="9"/>
      <c r="M95" s="9"/>
      <c r="N95" s="10" t="str">
        <f t="shared" si="20"/>
        <v/>
      </c>
      <c r="O95" s="10" t="str">
        <f t="shared" si="21"/>
        <v/>
      </c>
      <c r="P95" s="10" t="str">
        <f t="shared" si="22"/>
        <v/>
      </c>
      <c r="Q95" s="10" t="str">
        <f t="shared" si="23"/>
        <v/>
      </c>
      <c r="R95" s="10" t="str">
        <f t="shared" si="24"/>
        <v/>
      </c>
      <c r="S95" s="11" t="str">
        <f t="shared" si="25"/>
        <v/>
      </c>
      <c r="T95" s="11" t="str">
        <f t="shared" si="26"/>
        <v/>
      </c>
      <c r="U95" s="11" t="str">
        <f t="shared" si="27"/>
        <v/>
      </c>
      <c r="V95" s="11" t="str">
        <f t="shared" si="28"/>
        <v/>
      </c>
      <c r="W95" s="11" t="str">
        <f t="shared" si="29"/>
        <v/>
      </c>
      <c r="X95" s="5"/>
    </row>
    <row r="96" spans="1:24">
      <c r="A96" s="5"/>
      <c r="B96" s="7"/>
      <c r="C96" s="5"/>
      <c r="D96" s="5"/>
      <c r="E96" s="5"/>
      <c r="F96" s="8"/>
      <c r="G96" s="9"/>
      <c r="H96" s="9"/>
      <c r="I96" s="9"/>
      <c r="J96" s="9"/>
      <c r="K96" s="9"/>
      <c r="L96" s="9"/>
      <c r="M96" s="9"/>
      <c r="N96" s="10" t="str">
        <f t="shared" si="20"/>
        <v/>
      </c>
      <c r="O96" s="10" t="str">
        <f t="shared" si="21"/>
        <v/>
      </c>
      <c r="P96" s="10" t="str">
        <f t="shared" si="22"/>
        <v/>
      </c>
      <c r="Q96" s="10" t="str">
        <f t="shared" si="23"/>
        <v/>
      </c>
      <c r="R96" s="10" t="str">
        <f t="shared" si="24"/>
        <v/>
      </c>
      <c r="S96" s="11" t="str">
        <f t="shared" si="25"/>
        <v/>
      </c>
      <c r="T96" s="11" t="str">
        <f t="shared" si="26"/>
        <v/>
      </c>
      <c r="U96" s="11" t="str">
        <f t="shared" si="27"/>
        <v/>
      </c>
      <c r="V96" s="11" t="str">
        <f t="shared" si="28"/>
        <v/>
      </c>
      <c r="W96" s="11" t="str">
        <f t="shared" si="29"/>
        <v/>
      </c>
      <c r="X96" s="5"/>
    </row>
    <row r="97" spans="1:24">
      <c r="A97" s="5"/>
      <c r="B97" s="7"/>
      <c r="C97" s="5"/>
      <c r="D97" s="5"/>
      <c r="E97" s="5"/>
      <c r="F97" s="8"/>
      <c r="G97" s="9"/>
      <c r="H97" s="9"/>
      <c r="I97" s="9"/>
      <c r="J97" s="9"/>
      <c r="K97" s="9"/>
      <c r="L97" s="9"/>
      <c r="M97" s="9"/>
      <c r="N97" s="10" t="str">
        <f t="shared" si="20"/>
        <v/>
      </c>
      <c r="O97" s="10" t="str">
        <f t="shared" si="21"/>
        <v/>
      </c>
      <c r="P97" s="10" t="str">
        <f t="shared" si="22"/>
        <v/>
      </c>
      <c r="Q97" s="10" t="str">
        <f t="shared" si="23"/>
        <v/>
      </c>
      <c r="R97" s="10" t="str">
        <f t="shared" si="24"/>
        <v/>
      </c>
      <c r="S97" s="11" t="str">
        <f t="shared" si="25"/>
        <v/>
      </c>
      <c r="T97" s="11" t="str">
        <f t="shared" si="26"/>
        <v/>
      </c>
      <c r="U97" s="11" t="str">
        <f t="shared" si="27"/>
        <v/>
      </c>
      <c r="V97" s="11" t="str">
        <f t="shared" si="28"/>
        <v/>
      </c>
      <c r="W97" s="11" t="str">
        <f t="shared" si="29"/>
        <v/>
      </c>
      <c r="X97" s="5"/>
    </row>
    <row r="98" spans="1:24">
      <c r="A98" s="5"/>
      <c r="B98" s="7"/>
      <c r="C98" s="5"/>
      <c r="D98" s="5"/>
      <c r="E98" s="5"/>
      <c r="F98" s="8"/>
      <c r="G98" s="9"/>
      <c r="H98" s="9"/>
      <c r="I98" s="9"/>
      <c r="J98" s="9"/>
      <c r="K98" s="9"/>
      <c r="L98" s="9"/>
      <c r="M98" s="9"/>
      <c r="N98" s="10" t="str">
        <f t="shared" si="20"/>
        <v/>
      </c>
      <c r="O98" s="10" t="str">
        <f t="shared" si="21"/>
        <v/>
      </c>
      <c r="P98" s="10" t="str">
        <f t="shared" si="22"/>
        <v/>
      </c>
      <c r="Q98" s="10" t="str">
        <f t="shared" si="23"/>
        <v/>
      </c>
      <c r="R98" s="10" t="str">
        <f t="shared" si="24"/>
        <v/>
      </c>
      <c r="S98" s="11" t="str">
        <f t="shared" si="25"/>
        <v/>
      </c>
      <c r="T98" s="11" t="str">
        <f t="shared" si="26"/>
        <v/>
      </c>
      <c r="U98" s="11" t="str">
        <f t="shared" si="27"/>
        <v/>
      </c>
      <c r="V98" s="11" t="str">
        <f t="shared" si="28"/>
        <v/>
      </c>
      <c r="W98" s="11" t="str">
        <f t="shared" si="29"/>
        <v/>
      </c>
      <c r="X98" s="5"/>
    </row>
    <row r="99" spans="1:24">
      <c r="A99" s="5"/>
      <c r="B99" s="7"/>
      <c r="C99" s="5"/>
      <c r="D99" s="5"/>
      <c r="E99" s="5"/>
      <c r="F99" s="8"/>
      <c r="G99" s="9"/>
      <c r="H99" s="9"/>
      <c r="I99" s="9"/>
      <c r="J99" s="9"/>
      <c r="K99" s="9"/>
      <c r="L99" s="9"/>
      <c r="M99" s="9"/>
      <c r="N99" s="10" t="str">
        <f t="shared" si="20"/>
        <v/>
      </c>
      <c r="O99" s="10" t="str">
        <f t="shared" si="21"/>
        <v/>
      </c>
      <c r="P99" s="10" t="str">
        <f t="shared" si="22"/>
        <v/>
      </c>
      <c r="Q99" s="10" t="str">
        <f t="shared" si="23"/>
        <v/>
      </c>
      <c r="R99" s="10" t="str">
        <f t="shared" si="24"/>
        <v/>
      </c>
      <c r="S99" s="11" t="str">
        <f t="shared" si="25"/>
        <v/>
      </c>
      <c r="T99" s="11" t="str">
        <f t="shared" si="26"/>
        <v/>
      </c>
      <c r="U99" s="11" t="str">
        <f t="shared" si="27"/>
        <v/>
      </c>
      <c r="V99" s="11" t="str">
        <f t="shared" si="28"/>
        <v/>
      </c>
      <c r="W99" s="11" t="str">
        <f t="shared" si="29"/>
        <v/>
      </c>
      <c r="X99" s="5"/>
    </row>
    <row r="100" spans="1:24">
      <c r="A100" s="5"/>
      <c r="B100" s="7"/>
      <c r="C100" s="5"/>
      <c r="D100" s="5"/>
      <c r="E100" s="5"/>
      <c r="F100" s="8"/>
      <c r="G100" s="9"/>
      <c r="H100" s="9"/>
      <c r="I100" s="9"/>
      <c r="J100" s="9"/>
      <c r="K100" s="9"/>
      <c r="L100" s="9"/>
      <c r="M100" s="9"/>
      <c r="N100" s="10" t="str">
        <f t="shared" si="20"/>
        <v/>
      </c>
      <c r="O100" s="10" t="str">
        <f t="shared" si="21"/>
        <v/>
      </c>
      <c r="P100" s="10" t="str">
        <f t="shared" si="22"/>
        <v/>
      </c>
      <c r="Q100" s="10" t="str">
        <f t="shared" si="23"/>
        <v/>
      </c>
      <c r="R100" s="10" t="str">
        <f t="shared" si="24"/>
        <v/>
      </c>
      <c r="S100" s="11" t="str">
        <f t="shared" si="25"/>
        <v/>
      </c>
      <c r="T100" s="11" t="str">
        <f t="shared" si="26"/>
        <v/>
      </c>
      <c r="U100" s="11" t="str">
        <f t="shared" si="27"/>
        <v/>
      </c>
      <c r="V100" s="11" t="str">
        <f t="shared" si="28"/>
        <v/>
      </c>
      <c r="W100" s="11" t="str">
        <f t="shared" si="29"/>
        <v/>
      </c>
      <c r="X100" s="5"/>
    </row>
    <row r="101" spans="1:24">
      <c r="A101" s="5"/>
      <c r="B101" s="7"/>
      <c r="C101" s="5"/>
      <c r="D101" s="5"/>
      <c r="E101" s="5"/>
      <c r="F101" s="8"/>
      <c r="G101" s="9"/>
      <c r="H101" s="9"/>
      <c r="I101" s="9"/>
      <c r="J101" s="9"/>
      <c r="K101" s="9"/>
      <c r="L101" s="9"/>
      <c r="M101" s="9"/>
      <c r="N101" s="10" t="str">
        <f t="shared" si="20"/>
        <v/>
      </c>
      <c r="O101" s="10" t="str">
        <f t="shared" si="21"/>
        <v/>
      </c>
      <c r="P101" s="10" t="str">
        <f t="shared" si="22"/>
        <v/>
      </c>
      <c r="Q101" s="10" t="str">
        <f t="shared" si="23"/>
        <v/>
      </c>
      <c r="R101" s="10" t="str">
        <f t="shared" si="24"/>
        <v/>
      </c>
      <c r="S101" s="11" t="str">
        <f t="shared" si="25"/>
        <v/>
      </c>
      <c r="T101" s="11" t="str">
        <f t="shared" si="26"/>
        <v/>
      </c>
      <c r="U101" s="11" t="str">
        <f t="shared" si="27"/>
        <v/>
      </c>
      <c r="V101" s="11" t="str">
        <f t="shared" si="28"/>
        <v/>
      </c>
      <c r="W101" s="11" t="str">
        <f t="shared" si="29"/>
        <v/>
      </c>
      <c r="X101" s="5"/>
    </row>
    <row r="102" spans="1:24">
      <c r="A102" s="5"/>
      <c r="B102" s="7"/>
      <c r="C102" s="5"/>
      <c r="D102" s="5"/>
      <c r="E102" s="5"/>
      <c r="F102" s="8"/>
      <c r="G102" s="9"/>
      <c r="H102" s="9"/>
      <c r="I102" s="9"/>
      <c r="J102" s="9"/>
      <c r="K102" s="9"/>
      <c r="L102" s="9"/>
      <c r="M102" s="9"/>
      <c r="N102" s="10" t="str">
        <f t="shared" si="20"/>
        <v/>
      </c>
      <c r="O102" s="10" t="str">
        <f t="shared" si="21"/>
        <v/>
      </c>
      <c r="P102" s="10" t="str">
        <f t="shared" si="22"/>
        <v/>
      </c>
      <c r="Q102" s="10" t="str">
        <f t="shared" si="23"/>
        <v/>
      </c>
      <c r="R102" s="10" t="str">
        <f t="shared" si="24"/>
        <v/>
      </c>
      <c r="S102" s="11" t="str">
        <f t="shared" si="25"/>
        <v/>
      </c>
      <c r="T102" s="11" t="str">
        <f t="shared" si="26"/>
        <v/>
      </c>
      <c r="U102" s="11" t="str">
        <f t="shared" si="27"/>
        <v/>
      </c>
      <c r="V102" s="11" t="str">
        <f t="shared" si="28"/>
        <v/>
      </c>
      <c r="W102" s="11" t="str">
        <f t="shared" si="29"/>
        <v/>
      </c>
      <c r="X102" s="5"/>
    </row>
    <row r="103" spans="1:24">
      <c r="A103" s="5"/>
      <c r="B103" s="7"/>
      <c r="C103" s="5"/>
      <c r="D103" s="5"/>
      <c r="E103" s="5"/>
      <c r="F103" s="8"/>
      <c r="G103" s="9"/>
      <c r="H103" s="9"/>
      <c r="I103" s="9"/>
      <c r="J103" s="9"/>
      <c r="K103" s="9"/>
      <c r="L103" s="9"/>
      <c r="M103" s="9"/>
      <c r="N103" s="10" t="str">
        <f t="shared" si="20"/>
        <v/>
      </c>
      <c r="O103" s="10" t="str">
        <f t="shared" si="21"/>
        <v/>
      </c>
      <c r="P103" s="10" t="str">
        <f t="shared" si="22"/>
        <v/>
      </c>
      <c r="Q103" s="10" t="str">
        <f t="shared" si="23"/>
        <v/>
      </c>
      <c r="R103" s="10" t="str">
        <f t="shared" si="24"/>
        <v/>
      </c>
      <c r="S103" s="11" t="str">
        <f t="shared" si="25"/>
        <v/>
      </c>
      <c r="T103" s="11" t="str">
        <f t="shared" si="26"/>
        <v/>
      </c>
      <c r="U103" s="11" t="str">
        <f t="shared" si="27"/>
        <v/>
      </c>
      <c r="V103" s="11" t="str">
        <f t="shared" si="28"/>
        <v/>
      </c>
      <c r="W103" s="11" t="str">
        <f t="shared" si="29"/>
        <v/>
      </c>
      <c r="X103" s="5"/>
    </row>
    <row r="104" spans="1:24">
      <c r="A104" s="5"/>
      <c r="B104" s="7"/>
      <c r="C104" s="5"/>
      <c r="D104" s="5"/>
      <c r="E104" s="5"/>
      <c r="F104" s="8"/>
      <c r="G104" s="9"/>
      <c r="H104" s="9"/>
      <c r="I104" s="9"/>
      <c r="J104" s="9"/>
      <c r="K104" s="9"/>
      <c r="L104" s="9"/>
      <c r="M104" s="9"/>
      <c r="N104" s="10" t="str">
        <f t="shared" si="20"/>
        <v/>
      </c>
      <c r="O104" s="10" t="str">
        <f t="shared" si="21"/>
        <v/>
      </c>
      <c r="P104" s="10" t="str">
        <f t="shared" si="22"/>
        <v/>
      </c>
      <c r="Q104" s="10" t="str">
        <f t="shared" si="23"/>
        <v/>
      </c>
      <c r="R104" s="10" t="str">
        <f t="shared" si="24"/>
        <v/>
      </c>
      <c r="S104" s="11" t="str">
        <f t="shared" si="25"/>
        <v/>
      </c>
      <c r="T104" s="11" t="str">
        <f t="shared" si="26"/>
        <v/>
      </c>
      <c r="U104" s="11" t="str">
        <f t="shared" si="27"/>
        <v/>
      </c>
      <c r="V104" s="11" t="str">
        <f t="shared" si="28"/>
        <v/>
      </c>
      <c r="W104" s="11" t="str">
        <f t="shared" si="29"/>
        <v/>
      </c>
      <c r="X104" s="5"/>
    </row>
  </sheetData>
  <mergeCells count="2">
    <mergeCell ref="A1:X1"/>
    <mergeCell ref="A2:X2"/>
  </mergeCells>
  <conditionalFormatting sqref="M5:M104">
    <cfRule type="expression" dxfId="0" priority="1">
      <formula>AND($H5&lt;&gt;"",$M5&lt;&gt;"",$M5&gt;=$H5*0.98)</formula>
    </cfRule>
  </conditionalFormatting>
  <dataValidations count="2">
    <dataValidation type="list" sqref="B5:B104" xr:uid="{00000000-0002-0000-0000-000000000000}">
      <formula1>"5,12,24"</formula1>
    </dataValidation>
    <dataValidation type="list" sqref="E5:E104" xr:uid="{00000000-0002-0000-0000-000001000000}">
      <formula1>"RGB,RGBW,RGBCCT,CCT,W,Other"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selection activeCell="A9" sqref="A9"/>
    </sheetView>
  </sheetViews>
  <sheetFormatPr defaultRowHeight="14.25"/>
  <cols>
    <col min="1" max="1" width="7" customWidth="1"/>
    <col min="2" max="2" width="28" customWidth="1"/>
    <col min="3" max="4" width="13" customWidth="1"/>
    <col min="5" max="12" width="12" customWidth="1"/>
    <col min="13" max="13" width="28" customWidth="1"/>
  </cols>
  <sheetData>
    <row r="1" spans="1:13" ht="20.25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 ht="15">
      <c r="A3" s="1" t="s">
        <v>27</v>
      </c>
      <c r="B3" s="5" t="s">
        <v>28</v>
      </c>
    </row>
    <row r="4" spans="1:13" ht="15">
      <c r="A4" s="1" t="s">
        <v>29</v>
      </c>
      <c r="B4" s="12">
        <v>0.2</v>
      </c>
    </row>
    <row r="5" spans="1:13" ht="15">
      <c r="A5" s="1" t="s">
        <v>30</v>
      </c>
      <c r="B5" s="6">
        <f>SUM(E9:E40)</f>
        <v>0</v>
      </c>
    </row>
    <row r="7" spans="1:13" ht="15">
      <c r="A7" s="22" t="s">
        <v>31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ht="30">
      <c r="A8" s="4" t="s">
        <v>80</v>
      </c>
      <c r="B8" s="4" t="s">
        <v>32</v>
      </c>
      <c r="C8" s="4" t="s">
        <v>33</v>
      </c>
      <c r="D8" s="4" t="s">
        <v>34</v>
      </c>
      <c r="E8" s="4" t="s">
        <v>30</v>
      </c>
      <c r="F8" s="4" t="s">
        <v>35</v>
      </c>
      <c r="G8" s="4" t="s">
        <v>36</v>
      </c>
      <c r="H8" s="4" t="s">
        <v>37</v>
      </c>
      <c r="I8" s="4" t="s">
        <v>38</v>
      </c>
      <c r="J8" s="4" t="s">
        <v>39</v>
      </c>
      <c r="K8" s="4" t="s">
        <v>40</v>
      </c>
      <c r="L8" s="4" t="s">
        <v>41</v>
      </c>
      <c r="M8" s="4" t="s">
        <v>25</v>
      </c>
    </row>
    <row r="9" spans="1:13">
      <c r="A9">
        <v>1</v>
      </c>
      <c r="B9" s="5"/>
      <c r="C9" s="8"/>
      <c r="D9" s="8"/>
      <c r="E9" s="13" t="str">
        <f t="shared" ref="E9:E40" si="0">IF(OR(C9="",D9=""),"",C9*D9)</f>
        <v/>
      </c>
      <c r="F9" s="14" t="str">
        <f>IFERROR(INDEX('Power Ratings'!$B$5:$B$104,MATCH($B9,'Power Ratings'!$A$5:$A$104,0)),"")</f>
        <v/>
      </c>
      <c r="G9" s="11" t="str">
        <f>IF(OR($B9="",$E9=""),"",IFERROR($E9*INDEX('Power Ratings'!$N$5:$N$104,MATCH($B9,'Power Ratings'!$A$5:$A$104,0)),""))</f>
        <v/>
      </c>
      <c r="H9" s="11" t="str">
        <f>IF(OR($B9="",$E9=""),"",IFERROR($E9*INDEX('Power Ratings'!$O$5:$O$104,MATCH($B9,'Power Ratings'!$A$5:$A$104,0)),""))</f>
        <v/>
      </c>
      <c r="I9" s="11" t="str">
        <f>IF(OR($B9="",$E9=""),"",IFERROR($E9*INDEX('Power Ratings'!$P$5:$P$104,MATCH($B9,'Power Ratings'!$A$5:$A$104,0)),""))</f>
        <v/>
      </c>
      <c r="J9" s="11" t="str">
        <f>IF(OR($B9="",$E9=""),"",IFERROR($E9*INDEX('Power Ratings'!$Q$5:$Q$104,MATCH($B9,'Power Ratings'!$A$5:$A$104,0)),""))</f>
        <v/>
      </c>
      <c r="K9" s="11" t="str">
        <f>IF(OR($B9="",$E9=""),"",IFERROR($E9*INDEX('Power Ratings'!$R$5:$R$104,MATCH($B9,'Power Ratings'!$A$5:$A$104,0)),""))</f>
        <v/>
      </c>
      <c r="L9" s="14" t="str">
        <f t="shared" ref="L9:L40" si="1">IF(OR(F9="",K9=""),"",F9*K9)</f>
        <v/>
      </c>
      <c r="M9" s="5"/>
    </row>
    <row r="10" spans="1:13">
      <c r="A10">
        <v>2</v>
      </c>
      <c r="B10" s="5"/>
      <c r="C10" s="8"/>
      <c r="D10" s="8"/>
      <c r="E10" s="13" t="str">
        <f t="shared" si="0"/>
        <v/>
      </c>
      <c r="F10" s="14" t="str">
        <f>IFERROR(INDEX('Power Ratings'!$B$5:$B$104,MATCH($B10,'Power Ratings'!$A$5:$A$104,0)),"")</f>
        <v/>
      </c>
      <c r="G10" s="11" t="str">
        <f>IF(OR($B10="",$E10=""),"",IFERROR($E10*INDEX('Power Ratings'!$N$5:$N$104,MATCH($B10,'Power Ratings'!$A$5:$A$104,0)),""))</f>
        <v/>
      </c>
      <c r="H10" s="11" t="str">
        <f>IF(OR($B10="",$E10=""),"",IFERROR($E10*INDEX('Power Ratings'!$O$5:$O$104,MATCH($B10,'Power Ratings'!$A$5:$A$104,0)),""))</f>
        <v/>
      </c>
      <c r="I10" s="11" t="str">
        <f>IF(OR($B10="",$E10=""),"",IFERROR($E10*INDEX('Power Ratings'!$P$5:$P$104,MATCH($B10,'Power Ratings'!$A$5:$A$104,0)),""))</f>
        <v/>
      </c>
      <c r="J10" s="11" t="str">
        <f>IF(OR($B10="",$E10=""),"",IFERROR($E10*INDEX('Power Ratings'!$Q$5:$Q$104,MATCH($B10,'Power Ratings'!$A$5:$A$104,0)),""))</f>
        <v/>
      </c>
      <c r="K10" s="11" t="str">
        <f>IF(OR($B10="",$E10=""),"",IFERROR($E10*INDEX('Power Ratings'!$R$5:$R$104,MATCH($B10,'Power Ratings'!$A$5:$A$104,0)),""))</f>
        <v/>
      </c>
      <c r="L10" s="14" t="str">
        <f t="shared" si="1"/>
        <v/>
      </c>
      <c r="M10" s="5"/>
    </row>
    <row r="11" spans="1:13">
      <c r="A11">
        <v>3</v>
      </c>
      <c r="B11" s="5"/>
      <c r="C11" s="8"/>
      <c r="D11" s="8"/>
      <c r="E11" s="13" t="str">
        <f t="shared" si="0"/>
        <v/>
      </c>
      <c r="F11" s="14" t="str">
        <f>IFERROR(INDEX('Power Ratings'!$B$5:$B$104,MATCH($B11,'Power Ratings'!$A$5:$A$104,0)),"")</f>
        <v/>
      </c>
      <c r="G11" s="11" t="str">
        <f>IF(OR($B11="",$E11=""),"",IFERROR($E11*INDEX('Power Ratings'!$N$5:$N$104,MATCH($B11,'Power Ratings'!$A$5:$A$104,0)),""))</f>
        <v/>
      </c>
      <c r="H11" s="11" t="str">
        <f>IF(OR($B11="",$E11=""),"",IFERROR($E11*INDEX('Power Ratings'!$O$5:$O$104,MATCH($B11,'Power Ratings'!$A$5:$A$104,0)),""))</f>
        <v/>
      </c>
      <c r="I11" s="11" t="str">
        <f>IF(OR($B11="",$E11=""),"",IFERROR($E11*INDEX('Power Ratings'!$P$5:$P$104,MATCH($B11,'Power Ratings'!$A$5:$A$104,0)),""))</f>
        <v/>
      </c>
      <c r="J11" s="11" t="str">
        <f>IF(OR($B11="",$E11=""),"",IFERROR($E11*INDEX('Power Ratings'!$Q$5:$Q$104,MATCH($B11,'Power Ratings'!$A$5:$A$104,0)),""))</f>
        <v/>
      </c>
      <c r="K11" s="11" t="str">
        <f>IF(OR($B11="",$E11=""),"",IFERROR($E11*INDEX('Power Ratings'!$R$5:$R$104,MATCH($B11,'Power Ratings'!$A$5:$A$104,0)),""))</f>
        <v/>
      </c>
      <c r="L11" s="14" t="str">
        <f t="shared" si="1"/>
        <v/>
      </c>
      <c r="M11" s="5"/>
    </row>
    <row r="12" spans="1:13">
      <c r="A12">
        <v>4</v>
      </c>
      <c r="B12" s="5"/>
      <c r="C12" s="8"/>
      <c r="D12" s="8"/>
      <c r="E12" s="13" t="str">
        <f t="shared" si="0"/>
        <v/>
      </c>
      <c r="F12" s="14" t="str">
        <f>IFERROR(INDEX('Power Ratings'!$B$5:$B$104,MATCH($B12,'Power Ratings'!$A$5:$A$104,0)),"")</f>
        <v/>
      </c>
      <c r="G12" s="11" t="str">
        <f>IF(OR($B12="",$E12=""),"",IFERROR($E12*INDEX('Power Ratings'!$N$5:$N$104,MATCH($B12,'Power Ratings'!$A$5:$A$104,0)),""))</f>
        <v/>
      </c>
      <c r="H12" s="11" t="str">
        <f>IF(OR($B12="",$E12=""),"",IFERROR($E12*INDEX('Power Ratings'!$O$5:$O$104,MATCH($B12,'Power Ratings'!$A$5:$A$104,0)),""))</f>
        <v/>
      </c>
      <c r="I12" s="11" t="str">
        <f>IF(OR($B12="",$E12=""),"",IFERROR($E12*INDEX('Power Ratings'!$P$5:$P$104,MATCH($B12,'Power Ratings'!$A$5:$A$104,0)),""))</f>
        <v/>
      </c>
      <c r="J12" s="11" t="str">
        <f>IF(OR($B12="",$E12=""),"",IFERROR($E12*INDEX('Power Ratings'!$Q$5:$Q$104,MATCH($B12,'Power Ratings'!$A$5:$A$104,0)),""))</f>
        <v/>
      </c>
      <c r="K12" s="11" t="str">
        <f>IF(OR($B12="",$E12=""),"",IFERROR($E12*INDEX('Power Ratings'!$R$5:$R$104,MATCH($B12,'Power Ratings'!$A$5:$A$104,0)),""))</f>
        <v/>
      </c>
      <c r="L12" s="14" t="str">
        <f t="shared" si="1"/>
        <v/>
      </c>
      <c r="M12" s="5"/>
    </row>
    <row r="13" spans="1:13">
      <c r="A13">
        <v>5</v>
      </c>
      <c r="B13" s="5"/>
      <c r="C13" s="8"/>
      <c r="D13" s="8"/>
      <c r="E13" s="13" t="str">
        <f t="shared" si="0"/>
        <v/>
      </c>
      <c r="F13" s="14" t="str">
        <f>IFERROR(INDEX('Power Ratings'!$B$5:$B$104,MATCH($B13,'Power Ratings'!$A$5:$A$104,0)),"")</f>
        <v/>
      </c>
      <c r="G13" s="11" t="str">
        <f>IF(OR($B13="",$E13=""),"",IFERROR($E13*INDEX('Power Ratings'!$N$5:$N$104,MATCH($B13,'Power Ratings'!$A$5:$A$104,0)),""))</f>
        <v/>
      </c>
      <c r="H13" s="11" t="str">
        <f>IF(OR($B13="",$E13=""),"",IFERROR($E13*INDEX('Power Ratings'!$O$5:$O$104,MATCH($B13,'Power Ratings'!$A$5:$A$104,0)),""))</f>
        <v/>
      </c>
      <c r="I13" s="11" t="str">
        <f>IF(OR($B13="",$E13=""),"",IFERROR($E13*INDEX('Power Ratings'!$P$5:$P$104,MATCH($B13,'Power Ratings'!$A$5:$A$104,0)),""))</f>
        <v/>
      </c>
      <c r="J13" s="11" t="str">
        <f>IF(OR($B13="",$E13=""),"",IFERROR($E13*INDEX('Power Ratings'!$Q$5:$Q$104,MATCH($B13,'Power Ratings'!$A$5:$A$104,0)),""))</f>
        <v/>
      </c>
      <c r="K13" s="11" t="str">
        <f>IF(OR($B13="",$E13=""),"",IFERROR($E13*INDEX('Power Ratings'!$R$5:$R$104,MATCH($B13,'Power Ratings'!$A$5:$A$104,0)),""))</f>
        <v/>
      </c>
      <c r="L13" s="14" t="str">
        <f t="shared" si="1"/>
        <v/>
      </c>
      <c r="M13" s="5"/>
    </row>
    <row r="14" spans="1:13">
      <c r="A14">
        <v>6</v>
      </c>
      <c r="B14" s="5"/>
      <c r="C14" s="8"/>
      <c r="D14" s="8"/>
      <c r="E14" s="13" t="str">
        <f t="shared" si="0"/>
        <v/>
      </c>
      <c r="F14" s="14" t="str">
        <f>IFERROR(INDEX('Power Ratings'!$B$5:$B$104,MATCH($B14,'Power Ratings'!$A$5:$A$104,0)),"")</f>
        <v/>
      </c>
      <c r="G14" s="11" t="str">
        <f>IF(OR($B14="",$E14=""),"",IFERROR($E14*INDEX('Power Ratings'!$N$5:$N$104,MATCH($B14,'Power Ratings'!$A$5:$A$104,0)),""))</f>
        <v/>
      </c>
      <c r="H14" s="11" t="str">
        <f>IF(OR($B14="",$E14=""),"",IFERROR($E14*INDEX('Power Ratings'!$O$5:$O$104,MATCH($B14,'Power Ratings'!$A$5:$A$104,0)),""))</f>
        <v/>
      </c>
      <c r="I14" s="11" t="str">
        <f>IF(OR($B14="",$E14=""),"",IFERROR($E14*INDEX('Power Ratings'!$P$5:$P$104,MATCH($B14,'Power Ratings'!$A$5:$A$104,0)),""))</f>
        <v/>
      </c>
      <c r="J14" s="11" t="str">
        <f>IF(OR($B14="",$E14=""),"",IFERROR($E14*INDEX('Power Ratings'!$Q$5:$Q$104,MATCH($B14,'Power Ratings'!$A$5:$A$104,0)),""))</f>
        <v/>
      </c>
      <c r="K14" s="11" t="str">
        <f>IF(OR($B14="",$E14=""),"",IFERROR($E14*INDEX('Power Ratings'!$R$5:$R$104,MATCH($B14,'Power Ratings'!$A$5:$A$104,0)),""))</f>
        <v/>
      </c>
      <c r="L14" s="14" t="str">
        <f t="shared" si="1"/>
        <v/>
      </c>
      <c r="M14" s="5"/>
    </row>
    <row r="15" spans="1:13">
      <c r="A15">
        <v>7</v>
      </c>
      <c r="B15" s="5"/>
      <c r="C15" s="8"/>
      <c r="D15" s="8"/>
      <c r="E15" s="13" t="str">
        <f t="shared" si="0"/>
        <v/>
      </c>
      <c r="F15" s="14" t="str">
        <f>IFERROR(INDEX('Power Ratings'!$B$5:$B$104,MATCH($B15,'Power Ratings'!$A$5:$A$104,0)),"")</f>
        <v/>
      </c>
      <c r="G15" s="11" t="str">
        <f>IF(OR($B15="",$E15=""),"",IFERROR($E15*INDEX('Power Ratings'!$N$5:$N$104,MATCH($B15,'Power Ratings'!$A$5:$A$104,0)),""))</f>
        <v/>
      </c>
      <c r="H15" s="11" t="str">
        <f>IF(OR($B15="",$E15=""),"",IFERROR($E15*INDEX('Power Ratings'!$O$5:$O$104,MATCH($B15,'Power Ratings'!$A$5:$A$104,0)),""))</f>
        <v/>
      </c>
      <c r="I15" s="11" t="str">
        <f>IF(OR($B15="",$E15=""),"",IFERROR($E15*INDEX('Power Ratings'!$P$5:$P$104,MATCH($B15,'Power Ratings'!$A$5:$A$104,0)),""))</f>
        <v/>
      </c>
      <c r="J15" s="11" t="str">
        <f>IF(OR($B15="",$E15=""),"",IFERROR($E15*INDEX('Power Ratings'!$Q$5:$Q$104,MATCH($B15,'Power Ratings'!$A$5:$A$104,0)),""))</f>
        <v/>
      </c>
      <c r="K15" s="11" t="str">
        <f>IF(OR($B15="",$E15=""),"",IFERROR($E15*INDEX('Power Ratings'!$R$5:$R$104,MATCH($B15,'Power Ratings'!$A$5:$A$104,0)),""))</f>
        <v/>
      </c>
      <c r="L15" s="14" t="str">
        <f t="shared" si="1"/>
        <v/>
      </c>
      <c r="M15" s="5"/>
    </row>
    <row r="16" spans="1:13">
      <c r="A16">
        <v>8</v>
      </c>
      <c r="B16" s="5"/>
      <c r="C16" s="8"/>
      <c r="D16" s="8"/>
      <c r="E16" s="13" t="str">
        <f t="shared" si="0"/>
        <v/>
      </c>
      <c r="F16" s="14" t="str">
        <f>IFERROR(INDEX('Power Ratings'!$B$5:$B$104,MATCH($B16,'Power Ratings'!$A$5:$A$104,0)),"")</f>
        <v/>
      </c>
      <c r="G16" s="11" t="str">
        <f>IF(OR($B16="",$E16=""),"",IFERROR($E16*INDEX('Power Ratings'!$N$5:$N$104,MATCH($B16,'Power Ratings'!$A$5:$A$104,0)),""))</f>
        <v/>
      </c>
      <c r="H16" s="11" t="str">
        <f>IF(OR($B16="",$E16=""),"",IFERROR($E16*INDEX('Power Ratings'!$O$5:$O$104,MATCH($B16,'Power Ratings'!$A$5:$A$104,0)),""))</f>
        <v/>
      </c>
      <c r="I16" s="11" t="str">
        <f>IF(OR($B16="",$E16=""),"",IFERROR($E16*INDEX('Power Ratings'!$P$5:$P$104,MATCH($B16,'Power Ratings'!$A$5:$A$104,0)),""))</f>
        <v/>
      </c>
      <c r="J16" s="11" t="str">
        <f>IF(OR($B16="",$E16=""),"",IFERROR($E16*INDEX('Power Ratings'!$Q$5:$Q$104,MATCH($B16,'Power Ratings'!$A$5:$A$104,0)),""))</f>
        <v/>
      </c>
      <c r="K16" s="11" t="str">
        <f>IF(OR($B16="",$E16=""),"",IFERROR($E16*INDEX('Power Ratings'!$R$5:$R$104,MATCH($B16,'Power Ratings'!$A$5:$A$104,0)),""))</f>
        <v/>
      </c>
      <c r="L16" s="14" t="str">
        <f t="shared" si="1"/>
        <v/>
      </c>
      <c r="M16" s="5"/>
    </row>
    <row r="17" spans="1:13">
      <c r="A17">
        <v>9</v>
      </c>
      <c r="B17" s="5"/>
      <c r="C17" s="8"/>
      <c r="D17" s="8"/>
      <c r="E17" s="13" t="str">
        <f t="shared" si="0"/>
        <v/>
      </c>
      <c r="F17" s="14" t="str">
        <f>IFERROR(INDEX('Power Ratings'!$B$5:$B$104,MATCH($B17,'Power Ratings'!$A$5:$A$104,0)),"")</f>
        <v/>
      </c>
      <c r="G17" s="11" t="str">
        <f>IF(OR($B17="",$E17=""),"",IFERROR($E17*INDEX('Power Ratings'!$N$5:$N$104,MATCH($B17,'Power Ratings'!$A$5:$A$104,0)),""))</f>
        <v/>
      </c>
      <c r="H17" s="11" t="str">
        <f>IF(OR($B17="",$E17=""),"",IFERROR($E17*INDEX('Power Ratings'!$O$5:$O$104,MATCH($B17,'Power Ratings'!$A$5:$A$104,0)),""))</f>
        <v/>
      </c>
      <c r="I17" s="11" t="str">
        <f>IF(OR($B17="",$E17=""),"",IFERROR($E17*INDEX('Power Ratings'!$P$5:$P$104,MATCH($B17,'Power Ratings'!$A$5:$A$104,0)),""))</f>
        <v/>
      </c>
      <c r="J17" s="11" t="str">
        <f>IF(OR($B17="",$E17=""),"",IFERROR($E17*INDEX('Power Ratings'!$Q$5:$Q$104,MATCH($B17,'Power Ratings'!$A$5:$A$104,0)),""))</f>
        <v/>
      </c>
      <c r="K17" s="11" t="str">
        <f>IF(OR($B17="",$E17=""),"",IFERROR($E17*INDEX('Power Ratings'!$R$5:$R$104,MATCH($B17,'Power Ratings'!$A$5:$A$104,0)),""))</f>
        <v/>
      </c>
      <c r="L17" s="14" t="str">
        <f t="shared" si="1"/>
        <v/>
      </c>
      <c r="M17" s="5"/>
    </row>
    <row r="18" spans="1:13">
      <c r="A18">
        <v>10</v>
      </c>
      <c r="B18" s="5"/>
      <c r="C18" s="8"/>
      <c r="D18" s="8"/>
      <c r="E18" s="13" t="str">
        <f t="shared" si="0"/>
        <v/>
      </c>
      <c r="F18" s="14" t="str">
        <f>IFERROR(INDEX('Power Ratings'!$B$5:$B$104,MATCH($B18,'Power Ratings'!$A$5:$A$104,0)),"")</f>
        <v/>
      </c>
      <c r="G18" s="11" t="str">
        <f>IF(OR($B18="",$E18=""),"",IFERROR($E18*INDEX('Power Ratings'!$N$5:$N$104,MATCH($B18,'Power Ratings'!$A$5:$A$104,0)),""))</f>
        <v/>
      </c>
      <c r="H18" s="11" t="str">
        <f>IF(OR($B18="",$E18=""),"",IFERROR($E18*INDEX('Power Ratings'!$O$5:$O$104,MATCH($B18,'Power Ratings'!$A$5:$A$104,0)),""))</f>
        <v/>
      </c>
      <c r="I18" s="11" t="str">
        <f>IF(OR($B18="",$E18=""),"",IFERROR($E18*INDEX('Power Ratings'!$P$5:$P$104,MATCH($B18,'Power Ratings'!$A$5:$A$104,0)),""))</f>
        <v/>
      </c>
      <c r="J18" s="11" t="str">
        <f>IF(OR($B18="",$E18=""),"",IFERROR($E18*INDEX('Power Ratings'!$Q$5:$Q$104,MATCH($B18,'Power Ratings'!$A$5:$A$104,0)),""))</f>
        <v/>
      </c>
      <c r="K18" s="11" t="str">
        <f>IF(OR($B18="",$E18=""),"",IFERROR($E18*INDEX('Power Ratings'!$R$5:$R$104,MATCH($B18,'Power Ratings'!$A$5:$A$104,0)),""))</f>
        <v/>
      </c>
      <c r="L18" s="14" t="str">
        <f t="shared" si="1"/>
        <v/>
      </c>
      <c r="M18" s="5"/>
    </row>
    <row r="19" spans="1:13">
      <c r="A19">
        <v>11</v>
      </c>
      <c r="B19" s="5"/>
      <c r="C19" s="8"/>
      <c r="D19" s="8"/>
      <c r="E19" s="13" t="str">
        <f t="shared" si="0"/>
        <v/>
      </c>
      <c r="F19" s="14" t="str">
        <f>IFERROR(INDEX('Power Ratings'!$B$5:$B$104,MATCH($B19,'Power Ratings'!$A$5:$A$104,0)),"")</f>
        <v/>
      </c>
      <c r="G19" s="11" t="str">
        <f>IF(OR($B19="",$E19=""),"",IFERROR($E19*INDEX('Power Ratings'!$N$5:$N$104,MATCH($B19,'Power Ratings'!$A$5:$A$104,0)),""))</f>
        <v/>
      </c>
      <c r="H19" s="11" t="str">
        <f>IF(OR($B19="",$E19=""),"",IFERROR($E19*INDEX('Power Ratings'!$O$5:$O$104,MATCH($B19,'Power Ratings'!$A$5:$A$104,0)),""))</f>
        <v/>
      </c>
      <c r="I19" s="11" t="str">
        <f>IF(OR($B19="",$E19=""),"",IFERROR($E19*INDEX('Power Ratings'!$P$5:$P$104,MATCH($B19,'Power Ratings'!$A$5:$A$104,0)),""))</f>
        <v/>
      </c>
      <c r="J19" s="11" t="str">
        <f>IF(OR($B19="",$E19=""),"",IFERROR($E19*INDEX('Power Ratings'!$Q$5:$Q$104,MATCH($B19,'Power Ratings'!$A$5:$A$104,0)),""))</f>
        <v/>
      </c>
      <c r="K19" s="11" t="str">
        <f>IF(OR($B19="",$E19=""),"",IFERROR($E19*INDEX('Power Ratings'!$R$5:$R$104,MATCH($B19,'Power Ratings'!$A$5:$A$104,0)),""))</f>
        <v/>
      </c>
      <c r="L19" s="14" t="str">
        <f t="shared" si="1"/>
        <v/>
      </c>
      <c r="M19" s="5"/>
    </row>
    <row r="20" spans="1:13">
      <c r="A20">
        <v>12</v>
      </c>
      <c r="B20" s="5"/>
      <c r="C20" s="8"/>
      <c r="D20" s="8"/>
      <c r="E20" s="13" t="str">
        <f t="shared" si="0"/>
        <v/>
      </c>
      <c r="F20" s="14" t="str">
        <f>IFERROR(INDEX('Power Ratings'!$B$5:$B$104,MATCH($B20,'Power Ratings'!$A$5:$A$104,0)),"")</f>
        <v/>
      </c>
      <c r="G20" s="11" t="str">
        <f>IF(OR($B20="",$E20=""),"",IFERROR($E20*INDEX('Power Ratings'!$N$5:$N$104,MATCH($B20,'Power Ratings'!$A$5:$A$104,0)),""))</f>
        <v/>
      </c>
      <c r="H20" s="11" t="str">
        <f>IF(OR($B20="",$E20=""),"",IFERROR($E20*INDEX('Power Ratings'!$O$5:$O$104,MATCH($B20,'Power Ratings'!$A$5:$A$104,0)),""))</f>
        <v/>
      </c>
      <c r="I20" s="11" t="str">
        <f>IF(OR($B20="",$E20=""),"",IFERROR($E20*INDEX('Power Ratings'!$P$5:$P$104,MATCH($B20,'Power Ratings'!$A$5:$A$104,0)),""))</f>
        <v/>
      </c>
      <c r="J20" s="11" t="str">
        <f>IF(OR($B20="",$E20=""),"",IFERROR($E20*INDEX('Power Ratings'!$Q$5:$Q$104,MATCH($B20,'Power Ratings'!$A$5:$A$104,0)),""))</f>
        <v/>
      </c>
      <c r="K20" s="11" t="str">
        <f>IF(OR($B20="",$E20=""),"",IFERROR($E20*INDEX('Power Ratings'!$R$5:$R$104,MATCH($B20,'Power Ratings'!$A$5:$A$104,0)),""))</f>
        <v/>
      </c>
      <c r="L20" s="14" t="str">
        <f t="shared" si="1"/>
        <v/>
      </c>
      <c r="M20" s="5"/>
    </row>
    <row r="21" spans="1:13">
      <c r="A21">
        <v>13</v>
      </c>
      <c r="B21" s="5"/>
      <c r="C21" s="8"/>
      <c r="D21" s="8"/>
      <c r="E21" s="13" t="str">
        <f t="shared" si="0"/>
        <v/>
      </c>
      <c r="F21" s="14" t="str">
        <f>IFERROR(INDEX('Power Ratings'!$B$5:$B$104,MATCH($B21,'Power Ratings'!$A$5:$A$104,0)),"")</f>
        <v/>
      </c>
      <c r="G21" s="11" t="str">
        <f>IF(OR($B21="",$E21=""),"",IFERROR($E21*INDEX('Power Ratings'!$N$5:$N$104,MATCH($B21,'Power Ratings'!$A$5:$A$104,0)),""))</f>
        <v/>
      </c>
      <c r="H21" s="11" t="str">
        <f>IF(OR($B21="",$E21=""),"",IFERROR($E21*INDEX('Power Ratings'!$O$5:$O$104,MATCH($B21,'Power Ratings'!$A$5:$A$104,0)),""))</f>
        <v/>
      </c>
      <c r="I21" s="11" t="str">
        <f>IF(OR($B21="",$E21=""),"",IFERROR($E21*INDEX('Power Ratings'!$P$5:$P$104,MATCH($B21,'Power Ratings'!$A$5:$A$104,0)),""))</f>
        <v/>
      </c>
      <c r="J21" s="11" t="str">
        <f>IF(OR($B21="",$E21=""),"",IFERROR($E21*INDEX('Power Ratings'!$Q$5:$Q$104,MATCH($B21,'Power Ratings'!$A$5:$A$104,0)),""))</f>
        <v/>
      </c>
      <c r="K21" s="11" t="str">
        <f>IF(OR($B21="",$E21=""),"",IFERROR($E21*INDEX('Power Ratings'!$R$5:$R$104,MATCH($B21,'Power Ratings'!$A$5:$A$104,0)),""))</f>
        <v/>
      </c>
      <c r="L21" s="14" t="str">
        <f t="shared" si="1"/>
        <v/>
      </c>
      <c r="M21" s="5"/>
    </row>
    <row r="22" spans="1:13">
      <c r="A22">
        <v>14</v>
      </c>
      <c r="B22" s="5"/>
      <c r="C22" s="8"/>
      <c r="D22" s="8"/>
      <c r="E22" s="13" t="str">
        <f t="shared" si="0"/>
        <v/>
      </c>
      <c r="F22" s="14" t="str">
        <f>IFERROR(INDEX('Power Ratings'!$B$5:$B$104,MATCH($B22,'Power Ratings'!$A$5:$A$104,0)),"")</f>
        <v/>
      </c>
      <c r="G22" s="11" t="str">
        <f>IF(OR($B22="",$E22=""),"",IFERROR($E22*INDEX('Power Ratings'!$N$5:$N$104,MATCH($B22,'Power Ratings'!$A$5:$A$104,0)),""))</f>
        <v/>
      </c>
      <c r="H22" s="11" t="str">
        <f>IF(OR($B22="",$E22=""),"",IFERROR($E22*INDEX('Power Ratings'!$O$5:$O$104,MATCH($B22,'Power Ratings'!$A$5:$A$104,0)),""))</f>
        <v/>
      </c>
      <c r="I22" s="11" t="str">
        <f>IF(OR($B22="",$E22=""),"",IFERROR($E22*INDEX('Power Ratings'!$P$5:$P$104,MATCH($B22,'Power Ratings'!$A$5:$A$104,0)),""))</f>
        <v/>
      </c>
      <c r="J22" s="11" t="str">
        <f>IF(OR($B22="",$E22=""),"",IFERROR($E22*INDEX('Power Ratings'!$Q$5:$Q$104,MATCH($B22,'Power Ratings'!$A$5:$A$104,0)),""))</f>
        <v/>
      </c>
      <c r="K22" s="11" t="str">
        <f>IF(OR($B22="",$E22=""),"",IFERROR($E22*INDEX('Power Ratings'!$R$5:$R$104,MATCH($B22,'Power Ratings'!$A$5:$A$104,0)),""))</f>
        <v/>
      </c>
      <c r="L22" s="14" t="str">
        <f t="shared" si="1"/>
        <v/>
      </c>
      <c r="M22" s="5"/>
    </row>
    <row r="23" spans="1:13">
      <c r="A23">
        <v>15</v>
      </c>
      <c r="B23" s="5"/>
      <c r="C23" s="8"/>
      <c r="D23" s="8"/>
      <c r="E23" s="13" t="str">
        <f t="shared" si="0"/>
        <v/>
      </c>
      <c r="F23" s="14" t="str">
        <f>IFERROR(INDEX('Power Ratings'!$B$5:$B$104,MATCH($B23,'Power Ratings'!$A$5:$A$104,0)),"")</f>
        <v/>
      </c>
      <c r="G23" s="11" t="str">
        <f>IF(OR($B23="",$E23=""),"",IFERROR($E23*INDEX('Power Ratings'!$N$5:$N$104,MATCH($B23,'Power Ratings'!$A$5:$A$104,0)),""))</f>
        <v/>
      </c>
      <c r="H23" s="11" t="str">
        <f>IF(OR($B23="",$E23=""),"",IFERROR($E23*INDEX('Power Ratings'!$O$5:$O$104,MATCH($B23,'Power Ratings'!$A$5:$A$104,0)),""))</f>
        <v/>
      </c>
      <c r="I23" s="11" t="str">
        <f>IF(OR($B23="",$E23=""),"",IFERROR($E23*INDEX('Power Ratings'!$P$5:$P$104,MATCH($B23,'Power Ratings'!$A$5:$A$104,0)),""))</f>
        <v/>
      </c>
      <c r="J23" s="11" t="str">
        <f>IF(OR($B23="",$E23=""),"",IFERROR($E23*INDEX('Power Ratings'!$Q$5:$Q$104,MATCH($B23,'Power Ratings'!$A$5:$A$104,0)),""))</f>
        <v/>
      </c>
      <c r="K23" s="11" t="str">
        <f>IF(OR($B23="",$E23=""),"",IFERROR($E23*INDEX('Power Ratings'!$R$5:$R$104,MATCH($B23,'Power Ratings'!$A$5:$A$104,0)),""))</f>
        <v/>
      </c>
      <c r="L23" s="14" t="str">
        <f t="shared" si="1"/>
        <v/>
      </c>
      <c r="M23" s="5"/>
    </row>
    <row r="24" spans="1:13">
      <c r="A24">
        <v>16</v>
      </c>
      <c r="B24" s="5"/>
      <c r="C24" s="8"/>
      <c r="D24" s="8"/>
      <c r="E24" s="13" t="str">
        <f t="shared" si="0"/>
        <v/>
      </c>
      <c r="F24" s="14" t="str">
        <f>IFERROR(INDEX('Power Ratings'!$B$5:$B$104,MATCH($B24,'Power Ratings'!$A$5:$A$104,0)),"")</f>
        <v/>
      </c>
      <c r="G24" s="11" t="str">
        <f>IF(OR($B24="",$E24=""),"",IFERROR($E24*INDEX('Power Ratings'!$N$5:$N$104,MATCH($B24,'Power Ratings'!$A$5:$A$104,0)),""))</f>
        <v/>
      </c>
      <c r="H24" s="11" t="str">
        <f>IF(OR($B24="",$E24=""),"",IFERROR($E24*INDEX('Power Ratings'!$O$5:$O$104,MATCH($B24,'Power Ratings'!$A$5:$A$104,0)),""))</f>
        <v/>
      </c>
      <c r="I24" s="11" t="str">
        <f>IF(OR($B24="",$E24=""),"",IFERROR($E24*INDEX('Power Ratings'!$P$5:$P$104,MATCH($B24,'Power Ratings'!$A$5:$A$104,0)),""))</f>
        <v/>
      </c>
      <c r="J24" s="11" t="str">
        <f>IF(OR($B24="",$E24=""),"",IFERROR($E24*INDEX('Power Ratings'!$Q$5:$Q$104,MATCH($B24,'Power Ratings'!$A$5:$A$104,0)),""))</f>
        <v/>
      </c>
      <c r="K24" s="11" t="str">
        <f>IF(OR($B24="",$E24=""),"",IFERROR($E24*INDEX('Power Ratings'!$R$5:$R$104,MATCH($B24,'Power Ratings'!$A$5:$A$104,0)),""))</f>
        <v/>
      </c>
      <c r="L24" s="14" t="str">
        <f t="shared" si="1"/>
        <v/>
      </c>
      <c r="M24" s="5"/>
    </row>
    <row r="25" spans="1:13">
      <c r="A25">
        <v>17</v>
      </c>
      <c r="B25" s="5"/>
      <c r="C25" s="8"/>
      <c r="D25" s="8"/>
      <c r="E25" s="13" t="str">
        <f t="shared" si="0"/>
        <v/>
      </c>
      <c r="F25" s="14" t="str">
        <f>IFERROR(INDEX('Power Ratings'!$B$5:$B$104,MATCH($B25,'Power Ratings'!$A$5:$A$104,0)),"")</f>
        <v/>
      </c>
      <c r="G25" s="11" t="str">
        <f>IF(OR($B25="",$E25=""),"",IFERROR($E25*INDEX('Power Ratings'!$N$5:$N$104,MATCH($B25,'Power Ratings'!$A$5:$A$104,0)),""))</f>
        <v/>
      </c>
      <c r="H25" s="11" t="str">
        <f>IF(OR($B25="",$E25=""),"",IFERROR($E25*INDEX('Power Ratings'!$O$5:$O$104,MATCH($B25,'Power Ratings'!$A$5:$A$104,0)),""))</f>
        <v/>
      </c>
      <c r="I25" s="11" t="str">
        <f>IF(OR($B25="",$E25=""),"",IFERROR($E25*INDEX('Power Ratings'!$P$5:$P$104,MATCH($B25,'Power Ratings'!$A$5:$A$104,0)),""))</f>
        <v/>
      </c>
      <c r="J25" s="11" t="str">
        <f>IF(OR($B25="",$E25=""),"",IFERROR($E25*INDEX('Power Ratings'!$Q$5:$Q$104,MATCH($B25,'Power Ratings'!$A$5:$A$104,0)),""))</f>
        <v/>
      </c>
      <c r="K25" s="11" t="str">
        <f>IF(OR($B25="",$E25=""),"",IFERROR($E25*INDEX('Power Ratings'!$R$5:$R$104,MATCH($B25,'Power Ratings'!$A$5:$A$104,0)),""))</f>
        <v/>
      </c>
      <c r="L25" s="14" t="str">
        <f t="shared" si="1"/>
        <v/>
      </c>
      <c r="M25" s="5"/>
    </row>
    <row r="26" spans="1:13">
      <c r="A26">
        <v>18</v>
      </c>
      <c r="B26" s="5"/>
      <c r="C26" s="8"/>
      <c r="D26" s="8"/>
      <c r="E26" s="13" t="str">
        <f t="shared" si="0"/>
        <v/>
      </c>
      <c r="F26" s="14" t="str">
        <f>IFERROR(INDEX('Power Ratings'!$B$5:$B$104,MATCH($B26,'Power Ratings'!$A$5:$A$104,0)),"")</f>
        <v/>
      </c>
      <c r="G26" s="11" t="str">
        <f>IF(OR($B26="",$E26=""),"",IFERROR($E26*INDEX('Power Ratings'!$N$5:$N$104,MATCH($B26,'Power Ratings'!$A$5:$A$104,0)),""))</f>
        <v/>
      </c>
      <c r="H26" s="11" t="str">
        <f>IF(OR($B26="",$E26=""),"",IFERROR($E26*INDEX('Power Ratings'!$O$5:$O$104,MATCH($B26,'Power Ratings'!$A$5:$A$104,0)),""))</f>
        <v/>
      </c>
      <c r="I26" s="11" t="str">
        <f>IF(OR($B26="",$E26=""),"",IFERROR($E26*INDEX('Power Ratings'!$P$5:$P$104,MATCH($B26,'Power Ratings'!$A$5:$A$104,0)),""))</f>
        <v/>
      </c>
      <c r="J26" s="11" t="str">
        <f>IF(OR($B26="",$E26=""),"",IFERROR($E26*INDEX('Power Ratings'!$Q$5:$Q$104,MATCH($B26,'Power Ratings'!$A$5:$A$104,0)),""))</f>
        <v/>
      </c>
      <c r="K26" s="11" t="str">
        <f>IF(OR($B26="",$E26=""),"",IFERROR($E26*INDEX('Power Ratings'!$R$5:$R$104,MATCH($B26,'Power Ratings'!$A$5:$A$104,0)),""))</f>
        <v/>
      </c>
      <c r="L26" s="14" t="str">
        <f t="shared" si="1"/>
        <v/>
      </c>
      <c r="M26" s="5"/>
    </row>
    <row r="27" spans="1:13">
      <c r="A27">
        <v>19</v>
      </c>
      <c r="B27" s="5"/>
      <c r="C27" s="8"/>
      <c r="D27" s="8"/>
      <c r="E27" s="13" t="str">
        <f t="shared" si="0"/>
        <v/>
      </c>
      <c r="F27" s="14" t="str">
        <f>IFERROR(INDEX('Power Ratings'!$B$5:$B$104,MATCH($B27,'Power Ratings'!$A$5:$A$104,0)),"")</f>
        <v/>
      </c>
      <c r="G27" s="11" t="str">
        <f>IF(OR($B27="",$E27=""),"",IFERROR($E27*INDEX('Power Ratings'!$N$5:$N$104,MATCH($B27,'Power Ratings'!$A$5:$A$104,0)),""))</f>
        <v/>
      </c>
      <c r="H27" s="11" t="str">
        <f>IF(OR($B27="",$E27=""),"",IFERROR($E27*INDEX('Power Ratings'!$O$5:$O$104,MATCH($B27,'Power Ratings'!$A$5:$A$104,0)),""))</f>
        <v/>
      </c>
      <c r="I27" s="11" t="str">
        <f>IF(OR($B27="",$E27=""),"",IFERROR($E27*INDEX('Power Ratings'!$P$5:$P$104,MATCH($B27,'Power Ratings'!$A$5:$A$104,0)),""))</f>
        <v/>
      </c>
      <c r="J27" s="11" t="str">
        <f>IF(OR($B27="",$E27=""),"",IFERROR($E27*INDEX('Power Ratings'!$Q$5:$Q$104,MATCH($B27,'Power Ratings'!$A$5:$A$104,0)),""))</f>
        <v/>
      </c>
      <c r="K27" s="11" t="str">
        <f>IF(OR($B27="",$E27=""),"",IFERROR($E27*INDEX('Power Ratings'!$R$5:$R$104,MATCH($B27,'Power Ratings'!$A$5:$A$104,0)),""))</f>
        <v/>
      </c>
      <c r="L27" s="14" t="str">
        <f t="shared" si="1"/>
        <v/>
      </c>
      <c r="M27" s="5"/>
    </row>
    <row r="28" spans="1:13">
      <c r="A28">
        <v>20</v>
      </c>
      <c r="B28" s="5"/>
      <c r="C28" s="8"/>
      <c r="D28" s="8"/>
      <c r="E28" s="13" t="str">
        <f t="shared" si="0"/>
        <v/>
      </c>
      <c r="F28" s="14" t="str">
        <f>IFERROR(INDEX('Power Ratings'!$B$5:$B$104,MATCH($B28,'Power Ratings'!$A$5:$A$104,0)),"")</f>
        <v/>
      </c>
      <c r="G28" s="11" t="str">
        <f>IF(OR($B28="",$E28=""),"",IFERROR($E28*INDEX('Power Ratings'!$N$5:$N$104,MATCH($B28,'Power Ratings'!$A$5:$A$104,0)),""))</f>
        <v/>
      </c>
      <c r="H28" s="11" t="str">
        <f>IF(OR($B28="",$E28=""),"",IFERROR($E28*INDEX('Power Ratings'!$O$5:$O$104,MATCH($B28,'Power Ratings'!$A$5:$A$104,0)),""))</f>
        <v/>
      </c>
      <c r="I28" s="11" t="str">
        <f>IF(OR($B28="",$E28=""),"",IFERROR($E28*INDEX('Power Ratings'!$P$5:$P$104,MATCH($B28,'Power Ratings'!$A$5:$A$104,0)),""))</f>
        <v/>
      </c>
      <c r="J28" s="11" t="str">
        <f>IF(OR($B28="",$E28=""),"",IFERROR($E28*INDEX('Power Ratings'!$Q$5:$Q$104,MATCH($B28,'Power Ratings'!$A$5:$A$104,0)),""))</f>
        <v/>
      </c>
      <c r="K28" s="11" t="str">
        <f>IF(OR($B28="",$E28=""),"",IFERROR($E28*INDEX('Power Ratings'!$R$5:$R$104,MATCH($B28,'Power Ratings'!$A$5:$A$104,0)),""))</f>
        <v/>
      </c>
      <c r="L28" s="14" t="str">
        <f t="shared" si="1"/>
        <v/>
      </c>
      <c r="M28" s="5"/>
    </row>
    <row r="29" spans="1:13">
      <c r="A29">
        <v>21</v>
      </c>
      <c r="B29" s="5"/>
      <c r="C29" s="8"/>
      <c r="D29" s="8"/>
      <c r="E29" s="13" t="str">
        <f t="shared" si="0"/>
        <v/>
      </c>
      <c r="F29" s="14" t="str">
        <f>IFERROR(INDEX('Power Ratings'!$B$5:$B$104,MATCH($B29,'Power Ratings'!$A$5:$A$104,0)),"")</f>
        <v/>
      </c>
      <c r="G29" s="11" t="str">
        <f>IF(OR($B29="",$E29=""),"",IFERROR($E29*INDEX('Power Ratings'!$N$5:$N$104,MATCH($B29,'Power Ratings'!$A$5:$A$104,0)),""))</f>
        <v/>
      </c>
      <c r="H29" s="11" t="str">
        <f>IF(OR($B29="",$E29=""),"",IFERROR($E29*INDEX('Power Ratings'!$O$5:$O$104,MATCH($B29,'Power Ratings'!$A$5:$A$104,0)),""))</f>
        <v/>
      </c>
      <c r="I29" s="11" t="str">
        <f>IF(OR($B29="",$E29=""),"",IFERROR($E29*INDEX('Power Ratings'!$P$5:$P$104,MATCH($B29,'Power Ratings'!$A$5:$A$104,0)),""))</f>
        <v/>
      </c>
      <c r="J29" s="11" t="str">
        <f>IF(OR($B29="",$E29=""),"",IFERROR($E29*INDEX('Power Ratings'!$Q$5:$Q$104,MATCH($B29,'Power Ratings'!$A$5:$A$104,0)),""))</f>
        <v/>
      </c>
      <c r="K29" s="11" t="str">
        <f>IF(OR($B29="",$E29=""),"",IFERROR($E29*INDEX('Power Ratings'!$R$5:$R$104,MATCH($B29,'Power Ratings'!$A$5:$A$104,0)),""))</f>
        <v/>
      </c>
      <c r="L29" s="14" t="str">
        <f t="shared" si="1"/>
        <v/>
      </c>
      <c r="M29" s="5"/>
    </row>
    <row r="30" spans="1:13">
      <c r="A30">
        <v>22</v>
      </c>
      <c r="B30" s="5"/>
      <c r="C30" s="8"/>
      <c r="D30" s="8"/>
      <c r="E30" s="13" t="str">
        <f t="shared" si="0"/>
        <v/>
      </c>
      <c r="F30" s="14" t="str">
        <f>IFERROR(INDEX('Power Ratings'!$B$5:$B$104,MATCH($B30,'Power Ratings'!$A$5:$A$104,0)),"")</f>
        <v/>
      </c>
      <c r="G30" s="11" t="str">
        <f>IF(OR($B30="",$E30=""),"",IFERROR($E30*INDEX('Power Ratings'!$N$5:$N$104,MATCH($B30,'Power Ratings'!$A$5:$A$104,0)),""))</f>
        <v/>
      </c>
      <c r="H30" s="11" t="str">
        <f>IF(OR($B30="",$E30=""),"",IFERROR($E30*INDEX('Power Ratings'!$O$5:$O$104,MATCH($B30,'Power Ratings'!$A$5:$A$104,0)),""))</f>
        <v/>
      </c>
      <c r="I30" s="11" t="str">
        <f>IF(OR($B30="",$E30=""),"",IFERROR($E30*INDEX('Power Ratings'!$P$5:$P$104,MATCH($B30,'Power Ratings'!$A$5:$A$104,0)),""))</f>
        <v/>
      </c>
      <c r="J30" s="11" t="str">
        <f>IF(OR($B30="",$E30=""),"",IFERROR($E30*INDEX('Power Ratings'!$Q$5:$Q$104,MATCH($B30,'Power Ratings'!$A$5:$A$104,0)),""))</f>
        <v/>
      </c>
      <c r="K30" s="11" t="str">
        <f>IF(OR($B30="",$E30=""),"",IFERROR($E30*INDEX('Power Ratings'!$R$5:$R$104,MATCH($B30,'Power Ratings'!$A$5:$A$104,0)),""))</f>
        <v/>
      </c>
      <c r="L30" s="14" t="str">
        <f t="shared" si="1"/>
        <v/>
      </c>
      <c r="M30" s="5"/>
    </row>
    <row r="31" spans="1:13">
      <c r="A31">
        <v>23</v>
      </c>
      <c r="B31" s="5"/>
      <c r="C31" s="8"/>
      <c r="D31" s="8"/>
      <c r="E31" s="13" t="str">
        <f t="shared" si="0"/>
        <v/>
      </c>
      <c r="F31" s="14" t="str">
        <f>IFERROR(INDEX('Power Ratings'!$B$5:$B$104,MATCH($B31,'Power Ratings'!$A$5:$A$104,0)),"")</f>
        <v/>
      </c>
      <c r="G31" s="11" t="str">
        <f>IF(OR($B31="",$E31=""),"",IFERROR($E31*INDEX('Power Ratings'!$N$5:$N$104,MATCH($B31,'Power Ratings'!$A$5:$A$104,0)),""))</f>
        <v/>
      </c>
      <c r="H31" s="11" t="str">
        <f>IF(OR($B31="",$E31=""),"",IFERROR($E31*INDEX('Power Ratings'!$O$5:$O$104,MATCH($B31,'Power Ratings'!$A$5:$A$104,0)),""))</f>
        <v/>
      </c>
      <c r="I31" s="11" t="str">
        <f>IF(OR($B31="",$E31=""),"",IFERROR($E31*INDEX('Power Ratings'!$P$5:$P$104,MATCH($B31,'Power Ratings'!$A$5:$A$104,0)),""))</f>
        <v/>
      </c>
      <c r="J31" s="11" t="str">
        <f>IF(OR($B31="",$E31=""),"",IFERROR($E31*INDEX('Power Ratings'!$Q$5:$Q$104,MATCH($B31,'Power Ratings'!$A$5:$A$104,0)),""))</f>
        <v/>
      </c>
      <c r="K31" s="11" t="str">
        <f>IF(OR($B31="",$E31=""),"",IFERROR($E31*INDEX('Power Ratings'!$R$5:$R$104,MATCH($B31,'Power Ratings'!$A$5:$A$104,0)),""))</f>
        <v/>
      </c>
      <c r="L31" s="14" t="str">
        <f t="shared" si="1"/>
        <v/>
      </c>
      <c r="M31" s="5"/>
    </row>
    <row r="32" spans="1:13">
      <c r="A32">
        <v>24</v>
      </c>
      <c r="B32" s="5"/>
      <c r="C32" s="8"/>
      <c r="D32" s="8"/>
      <c r="E32" s="13" t="str">
        <f t="shared" si="0"/>
        <v/>
      </c>
      <c r="F32" s="14" t="str">
        <f>IFERROR(INDEX('Power Ratings'!$B$5:$B$104,MATCH($B32,'Power Ratings'!$A$5:$A$104,0)),"")</f>
        <v/>
      </c>
      <c r="G32" s="11" t="str">
        <f>IF(OR($B32="",$E32=""),"",IFERROR($E32*INDEX('Power Ratings'!$N$5:$N$104,MATCH($B32,'Power Ratings'!$A$5:$A$104,0)),""))</f>
        <v/>
      </c>
      <c r="H32" s="11" t="str">
        <f>IF(OR($B32="",$E32=""),"",IFERROR($E32*INDEX('Power Ratings'!$O$5:$O$104,MATCH($B32,'Power Ratings'!$A$5:$A$104,0)),""))</f>
        <v/>
      </c>
      <c r="I32" s="11" t="str">
        <f>IF(OR($B32="",$E32=""),"",IFERROR($E32*INDEX('Power Ratings'!$P$5:$P$104,MATCH($B32,'Power Ratings'!$A$5:$A$104,0)),""))</f>
        <v/>
      </c>
      <c r="J32" s="11" t="str">
        <f>IF(OR($B32="",$E32=""),"",IFERROR($E32*INDEX('Power Ratings'!$Q$5:$Q$104,MATCH($B32,'Power Ratings'!$A$5:$A$104,0)),""))</f>
        <v/>
      </c>
      <c r="K32" s="11" t="str">
        <f>IF(OR($B32="",$E32=""),"",IFERROR($E32*INDEX('Power Ratings'!$R$5:$R$104,MATCH($B32,'Power Ratings'!$A$5:$A$104,0)),""))</f>
        <v/>
      </c>
      <c r="L32" s="14" t="str">
        <f t="shared" si="1"/>
        <v/>
      </c>
      <c r="M32" s="5"/>
    </row>
    <row r="33" spans="1:13">
      <c r="A33">
        <v>25</v>
      </c>
      <c r="B33" s="5"/>
      <c r="C33" s="8"/>
      <c r="D33" s="8"/>
      <c r="E33" s="13" t="str">
        <f t="shared" si="0"/>
        <v/>
      </c>
      <c r="F33" s="14" t="str">
        <f>IFERROR(INDEX('Power Ratings'!$B$5:$B$104,MATCH($B33,'Power Ratings'!$A$5:$A$104,0)),"")</f>
        <v/>
      </c>
      <c r="G33" s="11" t="str">
        <f>IF(OR($B33="",$E33=""),"",IFERROR($E33*INDEX('Power Ratings'!$N$5:$N$104,MATCH($B33,'Power Ratings'!$A$5:$A$104,0)),""))</f>
        <v/>
      </c>
      <c r="H33" s="11" t="str">
        <f>IF(OR($B33="",$E33=""),"",IFERROR($E33*INDEX('Power Ratings'!$O$5:$O$104,MATCH($B33,'Power Ratings'!$A$5:$A$104,0)),""))</f>
        <v/>
      </c>
      <c r="I33" s="11" t="str">
        <f>IF(OR($B33="",$E33=""),"",IFERROR($E33*INDEX('Power Ratings'!$P$5:$P$104,MATCH($B33,'Power Ratings'!$A$5:$A$104,0)),""))</f>
        <v/>
      </c>
      <c r="J33" s="11" t="str">
        <f>IF(OR($B33="",$E33=""),"",IFERROR($E33*INDEX('Power Ratings'!$Q$5:$Q$104,MATCH($B33,'Power Ratings'!$A$5:$A$104,0)),""))</f>
        <v/>
      </c>
      <c r="K33" s="11" t="str">
        <f>IF(OR($B33="",$E33=""),"",IFERROR($E33*INDEX('Power Ratings'!$R$5:$R$104,MATCH($B33,'Power Ratings'!$A$5:$A$104,0)),""))</f>
        <v/>
      </c>
      <c r="L33" s="14" t="str">
        <f t="shared" si="1"/>
        <v/>
      </c>
      <c r="M33" s="5"/>
    </row>
    <row r="34" spans="1:13">
      <c r="A34">
        <v>26</v>
      </c>
      <c r="B34" s="5"/>
      <c r="C34" s="8"/>
      <c r="D34" s="8"/>
      <c r="E34" s="13" t="str">
        <f t="shared" si="0"/>
        <v/>
      </c>
      <c r="F34" s="14" t="str">
        <f>IFERROR(INDEX('Power Ratings'!$B$5:$B$104,MATCH($B34,'Power Ratings'!$A$5:$A$104,0)),"")</f>
        <v/>
      </c>
      <c r="G34" s="11" t="str">
        <f>IF(OR($B34="",$E34=""),"",IFERROR($E34*INDEX('Power Ratings'!$N$5:$N$104,MATCH($B34,'Power Ratings'!$A$5:$A$104,0)),""))</f>
        <v/>
      </c>
      <c r="H34" s="11" t="str">
        <f>IF(OR($B34="",$E34=""),"",IFERROR($E34*INDEX('Power Ratings'!$O$5:$O$104,MATCH($B34,'Power Ratings'!$A$5:$A$104,0)),""))</f>
        <v/>
      </c>
      <c r="I34" s="11" t="str">
        <f>IF(OR($B34="",$E34=""),"",IFERROR($E34*INDEX('Power Ratings'!$P$5:$P$104,MATCH($B34,'Power Ratings'!$A$5:$A$104,0)),""))</f>
        <v/>
      </c>
      <c r="J34" s="11" t="str">
        <f>IF(OR($B34="",$E34=""),"",IFERROR($E34*INDEX('Power Ratings'!$Q$5:$Q$104,MATCH($B34,'Power Ratings'!$A$5:$A$104,0)),""))</f>
        <v/>
      </c>
      <c r="K34" s="11" t="str">
        <f>IF(OR($B34="",$E34=""),"",IFERROR($E34*INDEX('Power Ratings'!$R$5:$R$104,MATCH($B34,'Power Ratings'!$A$5:$A$104,0)),""))</f>
        <v/>
      </c>
      <c r="L34" s="14" t="str">
        <f t="shared" si="1"/>
        <v/>
      </c>
      <c r="M34" s="5"/>
    </row>
    <row r="35" spans="1:13">
      <c r="A35">
        <v>27</v>
      </c>
      <c r="B35" s="5"/>
      <c r="C35" s="8"/>
      <c r="D35" s="8"/>
      <c r="E35" s="13" t="str">
        <f t="shared" si="0"/>
        <v/>
      </c>
      <c r="F35" s="14" t="str">
        <f>IFERROR(INDEX('Power Ratings'!$B$5:$B$104,MATCH($B35,'Power Ratings'!$A$5:$A$104,0)),"")</f>
        <v/>
      </c>
      <c r="G35" s="11" t="str">
        <f>IF(OR($B35="",$E35=""),"",IFERROR($E35*INDEX('Power Ratings'!$N$5:$N$104,MATCH($B35,'Power Ratings'!$A$5:$A$104,0)),""))</f>
        <v/>
      </c>
      <c r="H35" s="11" t="str">
        <f>IF(OR($B35="",$E35=""),"",IFERROR($E35*INDEX('Power Ratings'!$O$5:$O$104,MATCH($B35,'Power Ratings'!$A$5:$A$104,0)),""))</f>
        <v/>
      </c>
      <c r="I35" s="11" t="str">
        <f>IF(OR($B35="",$E35=""),"",IFERROR($E35*INDEX('Power Ratings'!$P$5:$P$104,MATCH($B35,'Power Ratings'!$A$5:$A$104,0)),""))</f>
        <v/>
      </c>
      <c r="J35" s="11" t="str">
        <f>IF(OR($B35="",$E35=""),"",IFERROR($E35*INDEX('Power Ratings'!$Q$5:$Q$104,MATCH($B35,'Power Ratings'!$A$5:$A$104,0)),""))</f>
        <v/>
      </c>
      <c r="K35" s="11" t="str">
        <f>IF(OR($B35="",$E35=""),"",IFERROR($E35*INDEX('Power Ratings'!$R$5:$R$104,MATCH($B35,'Power Ratings'!$A$5:$A$104,0)),""))</f>
        <v/>
      </c>
      <c r="L35" s="14" t="str">
        <f t="shared" si="1"/>
        <v/>
      </c>
      <c r="M35" s="5"/>
    </row>
    <row r="36" spans="1:13">
      <c r="A36">
        <v>28</v>
      </c>
      <c r="B36" s="5"/>
      <c r="C36" s="8"/>
      <c r="D36" s="8"/>
      <c r="E36" s="13" t="str">
        <f t="shared" si="0"/>
        <v/>
      </c>
      <c r="F36" s="14" t="str">
        <f>IFERROR(INDEX('Power Ratings'!$B$5:$B$104,MATCH($B36,'Power Ratings'!$A$5:$A$104,0)),"")</f>
        <v/>
      </c>
      <c r="G36" s="11" t="str">
        <f>IF(OR($B36="",$E36=""),"",IFERROR($E36*INDEX('Power Ratings'!$N$5:$N$104,MATCH($B36,'Power Ratings'!$A$5:$A$104,0)),""))</f>
        <v/>
      </c>
      <c r="H36" s="11" t="str">
        <f>IF(OR($B36="",$E36=""),"",IFERROR($E36*INDEX('Power Ratings'!$O$5:$O$104,MATCH($B36,'Power Ratings'!$A$5:$A$104,0)),""))</f>
        <v/>
      </c>
      <c r="I36" s="11" t="str">
        <f>IF(OR($B36="",$E36=""),"",IFERROR($E36*INDEX('Power Ratings'!$P$5:$P$104,MATCH($B36,'Power Ratings'!$A$5:$A$104,0)),""))</f>
        <v/>
      </c>
      <c r="J36" s="11" t="str">
        <f>IF(OR($B36="",$E36=""),"",IFERROR($E36*INDEX('Power Ratings'!$Q$5:$Q$104,MATCH($B36,'Power Ratings'!$A$5:$A$104,0)),""))</f>
        <v/>
      </c>
      <c r="K36" s="11" t="str">
        <f>IF(OR($B36="",$E36=""),"",IFERROR($E36*INDEX('Power Ratings'!$R$5:$R$104,MATCH($B36,'Power Ratings'!$A$5:$A$104,0)),""))</f>
        <v/>
      </c>
      <c r="L36" s="14" t="str">
        <f t="shared" si="1"/>
        <v/>
      </c>
      <c r="M36" s="5"/>
    </row>
    <row r="37" spans="1:13">
      <c r="A37">
        <v>29</v>
      </c>
      <c r="B37" s="5"/>
      <c r="C37" s="8"/>
      <c r="D37" s="8"/>
      <c r="E37" s="13" t="str">
        <f t="shared" si="0"/>
        <v/>
      </c>
      <c r="F37" s="14" t="str">
        <f>IFERROR(INDEX('Power Ratings'!$B$5:$B$104,MATCH($B37,'Power Ratings'!$A$5:$A$104,0)),"")</f>
        <v/>
      </c>
      <c r="G37" s="11" t="str">
        <f>IF(OR($B37="",$E37=""),"",IFERROR($E37*INDEX('Power Ratings'!$N$5:$N$104,MATCH($B37,'Power Ratings'!$A$5:$A$104,0)),""))</f>
        <v/>
      </c>
      <c r="H37" s="11" t="str">
        <f>IF(OR($B37="",$E37=""),"",IFERROR($E37*INDEX('Power Ratings'!$O$5:$O$104,MATCH($B37,'Power Ratings'!$A$5:$A$104,0)),""))</f>
        <v/>
      </c>
      <c r="I37" s="11" t="str">
        <f>IF(OR($B37="",$E37=""),"",IFERROR($E37*INDEX('Power Ratings'!$P$5:$P$104,MATCH($B37,'Power Ratings'!$A$5:$A$104,0)),""))</f>
        <v/>
      </c>
      <c r="J37" s="11" t="str">
        <f>IF(OR($B37="",$E37=""),"",IFERROR($E37*INDEX('Power Ratings'!$Q$5:$Q$104,MATCH($B37,'Power Ratings'!$A$5:$A$104,0)),""))</f>
        <v/>
      </c>
      <c r="K37" s="11" t="str">
        <f>IF(OR($B37="",$E37=""),"",IFERROR($E37*INDEX('Power Ratings'!$R$5:$R$104,MATCH($B37,'Power Ratings'!$A$5:$A$104,0)),""))</f>
        <v/>
      </c>
      <c r="L37" s="14" t="str">
        <f t="shared" si="1"/>
        <v/>
      </c>
      <c r="M37" s="5"/>
    </row>
    <row r="38" spans="1:13">
      <c r="A38">
        <v>30</v>
      </c>
      <c r="B38" s="5"/>
      <c r="C38" s="8"/>
      <c r="D38" s="8"/>
      <c r="E38" s="13" t="str">
        <f t="shared" si="0"/>
        <v/>
      </c>
      <c r="F38" s="14" t="str">
        <f>IFERROR(INDEX('Power Ratings'!$B$5:$B$104,MATCH($B38,'Power Ratings'!$A$5:$A$104,0)),"")</f>
        <v/>
      </c>
      <c r="G38" s="11" t="str">
        <f>IF(OR($B38="",$E38=""),"",IFERROR($E38*INDEX('Power Ratings'!$N$5:$N$104,MATCH($B38,'Power Ratings'!$A$5:$A$104,0)),""))</f>
        <v/>
      </c>
      <c r="H38" s="11" t="str">
        <f>IF(OR($B38="",$E38=""),"",IFERROR($E38*INDEX('Power Ratings'!$O$5:$O$104,MATCH($B38,'Power Ratings'!$A$5:$A$104,0)),""))</f>
        <v/>
      </c>
      <c r="I38" s="11" t="str">
        <f>IF(OR($B38="",$E38=""),"",IFERROR($E38*INDEX('Power Ratings'!$P$5:$P$104,MATCH($B38,'Power Ratings'!$A$5:$A$104,0)),""))</f>
        <v/>
      </c>
      <c r="J38" s="11" t="str">
        <f>IF(OR($B38="",$E38=""),"",IFERROR($E38*INDEX('Power Ratings'!$Q$5:$Q$104,MATCH($B38,'Power Ratings'!$A$5:$A$104,0)),""))</f>
        <v/>
      </c>
      <c r="K38" s="11" t="str">
        <f>IF(OR($B38="",$E38=""),"",IFERROR($E38*INDEX('Power Ratings'!$R$5:$R$104,MATCH($B38,'Power Ratings'!$A$5:$A$104,0)),""))</f>
        <v/>
      </c>
      <c r="L38" s="14" t="str">
        <f t="shared" si="1"/>
        <v/>
      </c>
      <c r="M38" s="5"/>
    </row>
    <row r="39" spans="1:13">
      <c r="A39">
        <v>31</v>
      </c>
      <c r="B39" s="5"/>
      <c r="C39" s="8"/>
      <c r="D39" s="8"/>
      <c r="E39" s="13" t="str">
        <f t="shared" si="0"/>
        <v/>
      </c>
      <c r="F39" s="14" t="str">
        <f>IFERROR(INDEX('Power Ratings'!$B$5:$B$104,MATCH($B39,'Power Ratings'!$A$5:$A$104,0)),"")</f>
        <v/>
      </c>
      <c r="G39" s="11" t="str">
        <f>IF(OR($B39="",$E39=""),"",IFERROR($E39*INDEX('Power Ratings'!$N$5:$N$104,MATCH($B39,'Power Ratings'!$A$5:$A$104,0)),""))</f>
        <v/>
      </c>
      <c r="H39" s="11" t="str">
        <f>IF(OR($B39="",$E39=""),"",IFERROR($E39*INDEX('Power Ratings'!$O$5:$O$104,MATCH($B39,'Power Ratings'!$A$5:$A$104,0)),""))</f>
        <v/>
      </c>
      <c r="I39" s="11" t="str">
        <f>IF(OR($B39="",$E39=""),"",IFERROR($E39*INDEX('Power Ratings'!$P$5:$P$104,MATCH($B39,'Power Ratings'!$A$5:$A$104,0)),""))</f>
        <v/>
      </c>
      <c r="J39" s="11" t="str">
        <f>IF(OR($B39="",$E39=""),"",IFERROR($E39*INDEX('Power Ratings'!$Q$5:$Q$104,MATCH($B39,'Power Ratings'!$A$5:$A$104,0)),""))</f>
        <v/>
      </c>
      <c r="K39" s="11" t="str">
        <f>IF(OR($B39="",$E39=""),"",IFERROR($E39*INDEX('Power Ratings'!$R$5:$R$104,MATCH($B39,'Power Ratings'!$A$5:$A$104,0)),""))</f>
        <v/>
      </c>
      <c r="L39" s="14" t="str">
        <f t="shared" si="1"/>
        <v/>
      </c>
      <c r="M39" s="5"/>
    </row>
    <row r="40" spans="1:13">
      <c r="A40">
        <v>32</v>
      </c>
      <c r="B40" s="5"/>
      <c r="C40" s="8"/>
      <c r="D40" s="8"/>
      <c r="E40" s="13" t="str">
        <f t="shared" si="0"/>
        <v/>
      </c>
      <c r="F40" s="14" t="str">
        <f>IFERROR(INDEX('Power Ratings'!$B$5:$B$104,MATCH($B40,'Power Ratings'!$A$5:$A$104,0)),"")</f>
        <v/>
      </c>
      <c r="G40" s="11" t="str">
        <f>IF(OR($B40="",$E40=""),"",IFERROR($E40*INDEX('Power Ratings'!$N$5:$N$104,MATCH($B40,'Power Ratings'!$A$5:$A$104,0)),""))</f>
        <v/>
      </c>
      <c r="H40" s="11" t="str">
        <f>IF(OR($B40="",$E40=""),"",IFERROR($E40*INDEX('Power Ratings'!$O$5:$O$104,MATCH($B40,'Power Ratings'!$A$5:$A$104,0)),""))</f>
        <v/>
      </c>
      <c r="I40" s="11" t="str">
        <f>IF(OR($B40="",$E40=""),"",IFERROR($E40*INDEX('Power Ratings'!$P$5:$P$104,MATCH($B40,'Power Ratings'!$A$5:$A$104,0)),""))</f>
        <v/>
      </c>
      <c r="J40" s="11" t="str">
        <f>IF(OR($B40="",$E40=""),"",IFERROR($E40*INDEX('Power Ratings'!$Q$5:$Q$104,MATCH($B40,'Power Ratings'!$A$5:$A$104,0)),""))</f>
        <v/>
      </c>
      <c r="K40" s="11" t="str">
        <f>IF(OR($B40="",$E40=""),"",IFERROR($E40*INDEX('Power Ratings'!$R$5:$R$104,MATCH($B40,'Power Ratings'!$A$5:$A$104,0)),""))</f>
        <v/>
      </c>
      <c r="L40" s="14" t="str">
        <f t="shared" si="1"/>
        <v/>
      </c>
      <c r="M40" s="5"/>
    </row>
    <row r="43" spans="1:13" ht="15">
      <c r="A43" s="22" t="s">
        <v>42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30">
      <c r="A44" s="15" t="s">
        <v>43</v>
      </c>
      <c r="B44" s="15" t="s">
        <v>44</v>
      </c>
      <c r="C44" s="15" t="s">
        <v>45</v>
      </c>
      <c r="D44" s="15" t="s">
        <v>46</v>
      </c>
      <c r="E44" s="15" t="s">
        <v>47</v>
      </c>
      <c r="F44" s="15" t="s">
        <v>48</v>
      </c>
      <c r="G44" s="15" t="s">
        <v>49</v>
      </c>
      <c r="H44" s="15" t="s">
        <v>50</v>
      </c>
      <c r="J44" s="15" t="s">
        <v>51</v>
      </c>
      <c r="K44" s="15" t="s">
        <v>52</v>
      </c>
    </row>
    <row r="45" spans="1:13" ht="15">
      <c r="A45" s="16">
        <v>5</v>
      </c>
      <c r="B45" s="17">
        <f>SUMIFS($G$9:$G$40,$F$9:$F$40,$A45)</f>
        <v>0</v>
      </c>
      <c r="C45" s="17">
        <f>SUMIFS($H$9:$H$40,$F$9:$F$40,$A45)</f>
        <v>0</v>
      </c>
      <c r="D45" s="17">
        <f>SUMIFS($I$9:$I$40,$F$9:$F$40,$A45)</f>
        <v>0</v>
      </c>
      <c r="E45" s="17">
        <f>SUMIFS($J$9:$J$40,$F$9:$F$40,$A45)</f>
        <v>0</v>
      </c>
      <c r="F45" s="17">
        <f>SUMIFS($K$9:$K$40,$F$9:$F$40,$A45)</f>
        <v>0</v>
      </c>
      <c r="G45" s="17">
        <f>F45*(1+$B$4)</f>
        <v>0</v>
      </c>
      <c r="H45" s="18">
        <f>A45*G45</f>
        <v>0</v>
      </c>
      <c r="J45" s="1" t="s">
        <v>53</v>
      </c>
      <c r="K45" s="18">
        <f>SUM(L9:L40)</f>
        <v>0</v>
      </c>
    </row>
    <row r="46" spans="1:13" ht="15">
      <c r="A46" s="16">
        <v>12</v>
      </c>
      <c r="B46" s="17">
        <f>SUMIFS($G$9:$G$40,$F$9:$F$40,$A46)</f>
        <v>0</v>
      </c>
      <c r="C46" s="17">
        <f>SUMIFS($H$9:$H$40,$F$9:$F$40,$A46)</f>
        <v>0</v>
      </c>
      <c r="D46" s="17">
        <f>SUMIFS($I$9:$I$40,$F$9:$F$40,$A46)</f>
        <v>0</v>
      </c>
      <c r="E46" s="17">
        <f>SUMIFS($J$9:$J$40,$F$9:$F$40,$A46)</f>
        <v>0</v>
      </c>
      <c r="F46" s="17">
        <f>SUMIFS($K$9:$K$40,$F$9:$F$40,$A46)</f>
        <v>0</v>
      </c>
      <c r="G46" s="17">
        <f>F46*(1+$B$4)</f>
        <v>0</v>
      </c>
      <c r="H46" s="18">
        <f>A46*G46</f>
        <v>0</v>
      </c>
      <c r="J46" s="1" t="s">
        <v>54</v>
      </c>
      <c r="K46" s="18">
        <f>SUM(H45:H47)</f>
        <v>0</v>
      </c>
    </row>
    <row r="47" spans="1:13" ht="15">
      <c r="A47" s="16">
        <v>24</v>
      </c>
      <c r="B47" s="17">
        <f>SUMIFS($G$9:$G$40,$F$9:$F$40,$A47)</f>
        <v>0</v>
      </c>
      <c r="C47" s="17">
        <f>SUMIFS($H$9:$H$40,$F$9:$F$40,$A47)</f>
        <v>0</v>
      </c>
      <c r="D47" s="17">
        <f>SUMIFS($I$9:$I$40,$F$9:$F$40,$A47)</f>
        <v>0</v>
      </c>
      <c r="E47" s="17">
        <f>SUMIFS($J$9:$J$40,$F$9:$F$40,$A47)</f>
        <v>0</v>
      </c>
      <c r="F47" s="17">
        <f>SUMIFS($K$9:$K$40,$F$9:$F$40,$A47)</f>
        <v>0</v>
      </c>
      <c r="G47" s="17">
        <f>F47*(1+$B$4)</f>
        <v>0</v>
      </c>
      <c r="H47" s="18">
        <f>A47*G47</f>
        <v>0</v>
      </c>
      <c r="J47" s="1" t="s">
        <v>55</v>
      </c>
      <c r="K47" s="19">
        <f>$B$4</f>
        <v>0.2</v>
      </c>
    </row>
    <row r="49" spans="1:13">
      <c r="A49" s="21" t="s">
        <v>56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</sheetData>
  <mergeCells count="4">
    <mergeCell ref="A1:M1"/>
    <mergeCell ref="A7:M7"/>
    <mergeCell ref="A43:M43"/>
    <mergeCell ref="A49:M5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'Power Ratings'!$A$5:$A$104</xm:f>
          </x14:formula1>
          <xm:sqref>B9:B40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sqref="A1:H1"/>
    </sheetView>
  </sheetViews>
  <sheetFormatPr defaultRowHeight="14.25"/>
  <cols>
    <col min="1" max="1" width="6" customWidth="1"/>
    <col min="2" max="8" width="18" customWidth="1"/>
  </cols>
  <sheetData>
    <row r="1" spans="1:8" ht="20.100000000000001" customHeight="1">
      <c r="A1" s="20" t="s">
        <v>57</v>
      </c>
      <c r="B1" s="20"/>
      <c r="C1" s="20"/>
      <c r="D1" s="20"/>
      <c r="E1" s="20"/>
      <c r="F1" s="20"/>
      <c r="G1" s="20"/>
      <c r="H1" s="20"/>
    </row>
    <row r="2" spans="1:8" ht="20.100000000000001" customHeight="1"/>
    <row r="3" spans="1:8" ht="20.100000000000001" customHeight="1">
      <c r="A3" s="22" t="s">
        <v>58</v>
      </c>
      <c r="B3" s="22"/>
      <c r="C3" s="22"/>
      <c r="D3" s="22"/>
      <c r="E3" s="22"/>
      <c r="F3" s="22"/>
      <c r="G3" s="22"/>
      <c r="H3" s="22"/>
    </row>
    <row r="4" spans="1:8" ht="20.100000000000001" customHeight="1">
      <c r="A4" s="2" t="s">
        <v>59</v>
      </c>
      <c r="B4" s="3" t="s">
        <v>60</v>
      </c>
    </row>
    <row r="5" spans="1:8" ht="20.100000000000001" customHeight="1">
      <c r="A5" s="2" t="s">
        <v>61</v>
      </c>
      <c r="B5" s="3" t="s">
        <v>62</v>
      </c>
    </row>
    <row r="6" spans="1:8" ht="20.100000000000001" customHeight="1">
      <c r="A6" s="2" t="s">
        <v>63</v>
      </c>
      <c r="B6" s="3" t="s">
        <v>64</v>
      </c>
    </row>
    <row r="7" spans="1:8" ht="20.100000000000001" customHeight="1">
      <c r="A7" s="2" t="s">
        <v>65</v>
      </c>
      <c r="B7" s="3" t="s">
        <v>66</v>
      </c>
    </row>
    <row r="8" spans="1:8" ht="20.100000000000001" customHeight="1">
      <c r="A8" s="2" t="s">
        <v>67</v>
      </c>
      <c r="B8" s="3" t="s">
        <v>68</v>
      </c>
    </row>
    <row r="9" spans="1:8" ht="20.100000000000001" customHeight="1">
      <c r="A9" s="2" t="s">
        <v>69</v>
      </c>
      <c r="B9" s="3" t="s">
        <v>70</v>
      </c>
    </row>
    <row r="10" spans="1:8" ht="20.100000000000001" customHeight="1">
      <c r="A10" s="2" t="s">
        <v>71</v>
      </c>
      <c r="B10" s="3" t="s">
        <v>72</v>
      </c>
    </row>
    <row r="11" spans="1:8" ht="20.100000000000001" customHeight="1">
      <c r="A11" s="2" t="s">
        <v>73</v>
      </c>
      <c r="B11" s="3" t="s">
        <v>74</v>
      </c>
    </row>
    <row r="12" spans="1:8" ht="20.100000000000001" customHeight="1"/>
    <row r="13" spans="1:8" ht="20.100000000000001" customHeight="1">
      <c r="A13" s="22" t="s">
        <v>75</v>
      </c>
      <c r="B13" s="22"/>
      <c r="C13" s="22"/>
      <c r="D13" s="22"/>
      <c r="E13" s="22"/>
      <c r="F13" s="22"/>
      <c r="G13" s="22"/>
      <c r="H13" s="22"/>
    </row>
    <row r="14" spans="1:8" ht="20.100000000000001" customHeight="1">
      <c r="A14" s="23" t="s">
        <v>76</v>
      </c>
      <c r="B14" s="23"/>
      <c r="C14" s="23"/>
      <c r="D14" s="23"/>
      <c r="E14" s="23"/>
      <c r="F14" s="23"/>
      <c r="G14" s="23"/>
      <c r="H14" s="23"/>
    </row>
    <row r="15" spans="1:8" ht="20.100000000000001" customHeight="1">
      <c r="A15" s="23"/>
      <c r="B15" s="23"/>
      <c r="C15" s="23"/>
      <c r="D15" s="23"/>
      <c r="E15" s="23"/>
      <c r="F15" s="23"/>
      <c r="G15" s="23"/>
      <c r="H15" s="23"/>
    </row>
    <row r="16" spans="1:8" ht="20.100000000000001" customHeight="1">
      <c r="A16" s="23"/>
      <c r="B16" s="23"/>
      <c r="C16" s="23"/>
      <c r="D16" s="23"/>
      <c r="E16" s="23"/>
      <c r="F16" s="23"/>
      <c r="G16" s="23"/>
      <c r="H16" s="23"/>
    </row>
    <row r="17" spans="1:8" ht="20.100000000000001" customHeight="1">
      <c r="A17" s="23"/>
      <c r="B17" s="23"/>
      <c r="C17" s="23"/>
      <c r="D17" s="23"/>
      <c r="E17" s="23"/>
      <c r="F17" s="23"/>
      <c r="G17" s="23"/>
      <c r="H17" s="23"/>
    </row>
    <row r="18" spans="1:8" ht="20.100000000000001" customHeight="1">
      <c r="A18" s="23"/>
      <c r="B18" s="23"/>
      <c r="C18" s="23"/>
      <c r="D18" s="23"/>
      <c r="E18" s="23"/>
      <c r="F18" s="23"/>
      <c r="G18" s="23"/>
      <c r="H18" s="23"/>
    </row>
    <row r="19" spans="1:8" ht="20.100000000000001" customHeight="1"/>
    <row r="20" spans="1:8" ht="20.100000000000001" customHeight="1"/>
  </sheetData>
  <mergeCells count="4">
    <mergeCell ref="A1:H1"/>
    <mergeCell ref="A3:H3"/>
    <mergeCell ref="A13:H13"/>
    <mergeCell ref="A14:H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3797-B5A1-4C35-8FFC-FC08509457C6}">
  <dimension ref="A1:M51"/>
  <sheetViews>
    <sheetView tabSelected="1" workbookViewId="0">
      <selection activeCell="T44" sqref="T44"/>
    </sheetView>
  </sheetViews>
  <sheetFormatPr defaultRowHeight="14.25"/>
  <cols>
    <col min="1" max="1" width="14.5" bestFit="1" customWidth="1"/>
    <col min="2" max="2" width="28" customWidth="1"/>
    <col min="3" max="4" width="13" customWidth="1"/>
    <col min="5" max="12" width="12" customWidth="1"/>
    <col min="13" max="13" width="28" customWidth="1"/>
  </cols>
  <sheetData>
    <row r="1" spans="1:13" ht="20.25">
      <c r="A1" s="20" t="s">
        <v>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 ht="15">
      <c r="A3" s="1" t="s">
        <v>27</v>
      </c>
      <c r="B3" s="5" t="s">
        <v>28</v>
      </c>
    </row>
    <row r="4" spans="1:13" ht="15">
      <c r="A4" s="1" t="s">
        <v>29</v>
      </c>
      <c r="B4" s="12">
        <v>0.2</v>
      </c>
    </row>
    <row r="5" spans="1:13" ht="15">
      <c r="A5" s="1" t="s">
        <v>30</v>
      </c>
      <c r="B5" s="6">
        <f>SUM(E9:E40)</f>
        <v>1600</v>
      </c>
    </row>
    <row r="7" spans="1:13" ht="15">
      <c r="A7" s="22" t="s">
        <v>31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ht="30">
      <c r="A8" s="4" t="s">
        <v>80</v>
      </c>
      <c r="B8" s="4" t="s">
        <v>32</v>
      </c>
      <c r="C8" s="4" t="s">
        <v>33</v>
      </c>
      <c r="D8" s="4" t="s">
        <v>34</v>
      </c>
      <c r="E8" s="4" t="s">
        <v>30</v>
      </c>
      <c r="F8" s="4" t="s">
        <v>35</v>
      </c>
      <c r="G8" s="4" t="s">
        <v>36</v>
      </c>
      <c r="H8" s="4" t="s">
        <v>37</v>
      </c>
      <c r="I8" s="4" t="s">
        <v>38</v>
      </c>
      <c r="J8" s="4" t="s">
        <v>39</v>
      </c>
      <c r="K8" s="4" t="s">
        <v>40</v>
      </c>
      <c r="L8" s="4" t="s">
        <v>41</v>
      </c>
      <c r="M8" s="4" t="s">
        <v>25</v>
      </c>
    </row>
    <row r="9" spans="1:13">
      <c r="A9">
        <v>1</v>
      </c>
      <c r="B9" s="5" t="s">
        <v>77</v>
      </c>
      <c r="C9" s="8">
        <v>16</v>
      </c>
      <c r="D9" s="8">
        <v>100</v>
      </c>
      <c r="E9" s="13">
        <f t="shared" ref="E9:E40" si="0">IF(OR(C9="",D9=""),"",C9*D9)</f>
        <v>1600</v>
      </c>
      <c r="F9" s="14">
        <f>IFERROR(INDEX('Power Ratings'!$B$5:$B$104,MATCH($B9,'Power Ratings'!$A$5:$A$104,0)),"")</f>
        <v>5</v>
      </c>
      <c r="G9" s="11">
        <f>IF(OR($B9="",$E9=""),"",IFERROR($E9*INDEX('Power Ratings'!$N$5:$N$104,MATCH($B9,'Power Ratings'!$A$5:$A$104,0)),""))</f>
        <v>20.8</v>
      </c>
      <c r="H9" s="11">
        <f>IF(OR($B9="",$E9=""),"",IFERROR($E9*INDEX('Power Ratings'!$O$5:$O$104,MATCH($B9,'Power Ratings'!$A$5:$A$104,0)),""))</f>
        <v>20.8</v>
      </c>
      <c r="I9" s="11">
        <f>IF(OR($B9="",$E9=""),"",IFERROR($E9*INDEX('Power Ratings'!$P$5:$P$104,MATCH($B9,'Power Ratings'!$A$5:$A$104,0)),""))</f>
        <v>19.2</v>
      </c>
      <c r="J9" s="11">
        <f>IF(OR($B9="",$E9=""),"",IFERROR($E9*INDEX('Power Ratings'!$Q$5:$Q$104,MATCH($B9,'Power Ratings'!$A$5:$A$104,0)),""))</f>
        <v>38.4</v>
      </c>
      <c r="K9" s="11">
        <f>IF(OR($B9="",$E9=""),"",IFERROR($E9*INDEX('Power Ratings'!$R$5:$R$104,MATCH($B9,'Power Ratings'!$A$5:$A$104,0)),""))</f>
        <v>38.4</v>
      </c>
      <c r="L9" s="14">
        <f t="shared" ref="L9:L40" si="1">IF(OR(F9="",K9=""),"",F9*K9)</f>
        <v>192</v>
      </c>
      <c r="M9" s="5" t="s">
        <v>81</v>
      </c>
    </row>
    <row r="10" spans="1:13">
      <c r="A10">
        <v>2</v>
      </c>
      <c r="B10" s="5"/>
      <c r="C10" s="8"/>
      <c r="D10" s="8"/>
      <c r="E10" s="13" t="str">
        <f t="shared" si="0"/>
        <v/>
      </c>
      <c r="F10" s="14" t="str">
        <f>IFERROR(INDEX('Power Ratings'!$B$5:$B$104,MATCH($B10,'Power Ratings'!$A$5:$A$104,0)),"")</f>
        <v/>
      </c>
      <c r="G10" s="11" t="str">
        <f>IF(OR($B10="",$E10=""),"",IFERROR($E10*INDEX('Power Ratings'!$N$5:$N$104,MATCH($B10,'Power Ratings'!$A$5:$A$104,0)),""))</f>
        <v/>
      </c>
      <c r="H10" s="11" t="str">
        <f>IF(OR($B10="",$E10=""),"",IFERROR($E10*INDEX('Power Ratings'!$O$5:$O$104,MATCH($B10,'Power Ratings'!$A$5:$A$104,0)),""))</f>
        <v/>
      </c>
      <c r="I10" s="11" t="str">
        <f>IF(OR($B10="",$E10=""),"",IFERROR($E10*INDEX('Power Ratings'!$P$5:$P$104,MATCH($B10,'Power Ratings'!$A$5:$A$104,0)),""))</f>
        <v/>
      </c>
      <c r="J10" s="11" t="str">
        <f>IF(OR($B10="",$E10=""),"",IFERROR($E10*INDEX('Power Ratings'!$Q$5:$Q$104,MATCH($B10,'Power Ratings'!$A$5:$A$104,0)),""))</f>
        <v/>
      </c>
      <c r="K10" s="11" t="str">
        <f>IF(OR($B10="",$E10=""),"",IFERROR($E10*INDEX('Power Ratings'!$R$5:$R$104,MATCH($B10,'Power Ratings'!$A$5:$A$104,0)),""))</f>
        <v/>
      </c>
      <c r="L10" s="14" t="str">
        <f t="shared" si="1"/>
        <v/>
      </c>
      <c r="M10" s="5"/>
    </row>
    <row r="11" spans="1:13">
      <c r="A11">
        <v>3</v>
      </c>
      <c r="B11" s="5"/>
      <c r="C11" s="8"/>
      <c r="D11" s="8"/>
      <c r="E11" s="13" t="str">
        <f t="shared" si="0"/>
        <v/>
      </c>
      <c r="F11" s="14" t="str">
        <f>IFERROR(INDEX('Power Ratings'!$B$5:$B$104,MATCH($B11,'Power Ratings'!$A$5:$A$104,0)),"")</f>
        <v/>
      </c>
      <c r="G11" s="11" t="str">
        <f>IF(OR($B11="",$E11=""),"",IFERROR($E11*INDEX('Power Ratings'!$N$5:$N$104,MATCH($B11,'Power Ratings'!$A$5:$A$104,0)),""))</f>
        <v/>
      </c>
      <c r="H11" s="11" t="str">
        <f>IF(OR($B11="",$E11=""),"",IFERROR($E11*INDEX('Power Ratings'!$O$5:$O$104,MATCH($B11,'Power Ratings'!$A$5:$A$104,0)),""))</f>
        <v/>
      </c>
      <c r="I11" s="11" t="str">
        <f>IF(OR($B11="",$E11=""),"",IFERROR($E11*INDEX('Power Ratings'!$P$5:$P$104,MATCH($B11,'Power Ratings'!$A$5:$A$104,0)),""))</f>
        <v/>
      </c>
      <c r="J11" s="11" t="str">
        <f>IF(OR($B11="",$E11=""),"",IFERROR($E11*INDEX('Power Ratings'!$Q$5:$Q$104,MATCH($B11,'Power Ratings'!$A$5:$A$104,0)),""))</f>
        <v/>
      </c>
      <c r="K11" s="11" t="str">
        <f>IF(OR($B11="",$E11=""),"",IFERROR($E11*INDEX('Power Ratings'!$R$5:$R$104,MATCH($B11,'Power Ratings'!$A$5:$A$104,0)),""))</f>
        <v/>
      </c>
      <c r="L11" s="14" t="str">
        <f t="shared" si="1"/>
        <v/>
      </c>
      <c r="M11" s="5"/>
    </row>
    <row r="12" spans="1:13">
      <c r="A12">
        <v>4</v>
      </c>
      <c r="B12" s="5"/>
      <c r="C12" s="8"/>
      <c r="D12" s="8"/>
      <c r="E12" s="13" t="str">
        <f t="shared" si="0"/>
        <v/>
      </c>
      <c r="F12" s="14" t="str">
        <f>IFERROR(INDEX('Power Ratings'!$B$5:$B$104,MATCH($B12,'Power Ratings'!$A$5:$A$104,0)),"")</f>
        <v/>
      </c>
      <c r="G12" s="11" t="str">
        <f>IF(OR($B12="",$E12=""),"",IFERROR($E12*INDEX('Power Ratings'!$N$5:$N$104,MATCH($B12,'Power Ratings'!$A$5:$A$104,0)),""))</f>
        <v/>
      </c>
      <c r="H12" s="11" t="str">
        <f>IF(OR($B12="",$E12=""),"",IFERROR($E12*INDEX('Power Ratings'!$O$5:$O$104,MATCH($B12,'Power Ratings'!$A$5:$A$104,0)),""))</f>
        <v/>
      </c>
      <c r="I12" s="11" t="str">
        <f>IF(OR($B12="",$E12=""),"",IFERROR($E12*INDEX('Power Ratings'!$P$5:$P$104,MATCH($B12,'Power Ratings'!$A$5:$A$104,0)),""))</f>
        <v/>
      </c>
      <c r="J12" s="11" t="str">
        <f>IF(OR($B12="",$E12=""),"",IFERROR($E12*INDEX('Power Ratings'!$Q$5:$Q$104,MATCH($B12,'Power Ratings'!$A$5:$A$104,0)),""))</f>
        <v/>
      </c>
      <c r="K12" s="11" t="str">
        <f>IF(OR($B12="",$E12=""),"",IFERROR($E12*INDEX('Power Ratings'!$R$5:$R$104,MATCH($B12,'Power Ratings'!$A$5:$A$104,0)),""))</f>
        <v/>
      </c>
      <c r="L12" s="14" t="str">
        <f t="shared" si="1"/>
        <v/>
      </c>
      <c r="M12" s="5"/>
    </row>
    <row r="13" spans="1:13">
      <c r="A13">
        <v>5</v>
      </c>
      <c r="B13" s="5"/>
      <c r="C13" s="8"/>
      <c r="D13" s="8"/>
      <c r="E13" s="13" t="str">
        <f t="shared" si="0"/>
        <v/>
      </c>
      <c r="F13" s="14" t="str">
        <f>IFERROR(INDEX('Power Ratings'!$B$5:$B$104,MATCH($B13,'Power Ratings'!$A$5:$A$104,0)),"")</f>
        <v/>
      </c>
      <c r="G13" s="11" t="str">
        <f>IF(OR($B13="",$E13=""),"",IFERROR($E13*INDEX('Power Ratings'!$N$5:$N$104,MATCH($B13,'Power Ratings'!$A$5:$A$104,0)),""))</f>
        <v/>
      </c>
      <c r="H13" s="11" t="str">
        <f>IF(OR($B13="",$E13=""),"",IFERROR($E13*INDEX('Power Ratings'!$O$5:$O$104,MATCH($B13,'Power Ratings'!$A$5:$A$104,0)),""))</f>
        <v/>
      </c>
      <c r="I13" s="11" t="str">
        <f>IF(OR($B13="",$E13=""),"",IFERROR($E13*INDEX('Power Ratings'!$P$5:$P$104,MATCH($B13,'Power Ratings'!$A$5:$A$104,0)),""))</f>
        <v/>
      </c>
      <c r="J13" s="11" t="str">
        <f>IF(OR($B13="",$E13=""),"",IFERROR($E13*INDEX('Power Ratings'!$Q$5:$Q$104,MATCH($B13,'Power Ratings'!$A$5:$A$104,0)),""))</f>
        <v/>
      </c>
      <c r="K13" s="11" t="str">
        <f>IF(OR($B13="",$E13=""),"",IFERROR($E13*INDEX('Power Ratings'!$R$5:$R$104,MATCH($B13,'Power Ratings'!$A$5:$A$104,0)),""))</f>
        <v/>
      </c>
      <c r="L13" s="14" t="str">
        <f t="shared" si="1"/>
        <v/>
      </c>
      <c r="M13" s="5"/>
    </row>
    <row r="14" spans="1:13">
      <c r="A14">
        <v>6</v>
      </c>
      <c r="B14" s="5"/>
      <c r="C14" s="8"/>
      <c r="D14" s="8"/>
      <c r="E14" s="13" t="str">
        <f t="shared" si="0"/>
        <v/>
      </c>
      <c r="F14" s="14" t="str">
        <f>IFERROR(INDEX('Power Ratings'!$B$5:$B$104,MATCH($B14,'Power Ratings'!$A$5:$A$104,0)),"")</f>
        <v/>
      </c>
      <c r="G14" s="11" t="str">
        <f>IF(OR($B14="",$E14=""),"",IFERROR($E14*INDEX('Power Ratings'!$N$5:$N$104,MATCH($B14,'Power Ratings'!$A$5:$A$104,0)),""))</f>
        <v/>
      </c>
      <c r="H14" s="11" t="str">
        <f>IF(OR($B14="",$E14=""),"",IFERROR($E14*INDEX('Power Ratings'!$O$5:$O$104,MATCH($B14,'Power Ratings'!$A$5:$A$104,0)),""))</f>
        <v/>
      </c>
      <c r="I14" s="11" t="str">
        <f>IF(OR($B14="",$E14=""),"",IFERROR($E14*INDEX('Power Ratings'!$P$5:$P$104,MATCH($B14,'Power Ratings'!$A$5:$A$104,0)),""))</f>
        <v/>
      </c>
      <c r="J14" s="11" t="str">
        <f>IF(OR($B14="",$E14=""),"",IFERROR($E14*INDEX('Power Ratings'!$Q$5:$Q$104,MATCH($B14,'Power Ratings'!$A$5:$A$104,0)),""))</f>
        <v/>
      </c>
      <c r="K14" s="11" t="str">
        <f>IF(OR($B14="",$E14=""),"",IFERROR($E14*INDEX('Power Ratings'!$R$5:$R$104,MATCH($B14,'Power Ratings'!$A$5:$A$104,0)),""))</f>
        <v/>
      </c>
      <c r="L14" s="14" t="str">
        <f t="shared" si="1"/>
        <v/>
      </c>
      <c r="M14" s="5"/>
    </row>
    <row r="15" spans="1:13">
      <c r="A15">
        <v>7</v>
      </c>
      <c r="B15" s="5"/>
      <c r="C15" s="8"/>
      <c r="D15" s="8"/>
      <c r="E15" s="13" t="str">
        <f t="shared" si="0"/>
        <v/>
      </c>
      <c r="F15" s="14" t="str">
        <f>IFERROR(INDEX('Power Ratings'!$B$5:$B$104,MATCH($B15,'Power Ratings'!$A$5:$A$104,0)),"")</f>
        <v/>
      </c>
      <c r="G15" s="11" t="str">
        <f>IF(OR($B15="",$E15=""),"",IFERROR($E15*INDEX('Power Ratings'!$N$5:$N$104,MATCH($B15,'Power Ratings'!$A$5:$A$104,0)),""))</f>
        <v/>
      </c>
      <c r="H15" s="11" t="str">
        <f>IF(OR($B15="",$E15=""),"",IFERROR($E15*INDEX('Power Ratings'!$O$5:$O$104,MATCH($B15,'Power Ratings'!$A$5:$A$104,0)),""))</f>
        <v/>
      </c>
      <c r="I15" s="11" t="str">
        <f>IF(OR($B15="",$E15=""),"",IFERROR($E15*INDEX('Power Ratings'!$P$5:$P$104,MATCH($B15,'Power Ratings'!$A$5:$A$104,0)),""))</f>
        <v/>
      </c>
      <c r="J15" s="11" t="str">
        <f>IF(OR($B15="",$E15=""),"",IFERROR($E15*INDEX('Power Ratings'!$Q$5:$Q$104,MATCH($B15,'Power Ratings'!$A$5:$A$104,0)),""))</f>
        <v/>
      </c>
      <c r="K15" s="11" t="str">
        <f>IF(OR($B15="",$E15=""),"",IFERROR($E15*INDEX('Power Ratings'!$R$5:$R$104,MATCH($B15,'Power Ratings'!$A$5:$A$104,0)),""))</f>
        <v/>
      </c>
      <c r="L15" s="14" t="str">
        <f t="shared" si="1"/>
        <v/>
      </c>
      <c r="M15" s="5"/>
    </row>
    <row r="16" spans="1:13">
      <c r="A16">
        <v>8</v>
      </c>
      <c r="B16" s="5"/>
      <c r="C16" s="8"/>
      <c r="D16" s="8"/>
      <c r="E16" s="13" t="str">
        <f t="shared" si="0"/>
        <v/>
      </c>
      <c r="F16" s="14" t="str">
        <f>IFERROR(INDEX('Power Ratings'!$B$5:$B$104,MATCH($B16,'Power Ratings'!$A$5:$A$104,0)),"")</f>
        <v/>
      </c>
      <c r="G16" s="11" t="str">
        <f>IF(OR($B16="",$E16=""),"",IFERROR($E16*INDEX('Power Ratings'!$N$5:$N$104,MATCH($B16,'Power Ratings'!$A$5:$A$104,0)),""))</f>
        <v/>
      </c>
      <c r="H16" s="11" t="str">
        <f>IF(OR($B16="",$E16=""),"",IFERROR($E16*INDEX('Power Ratings'!$O$5:$O$104,MATCH($B16,'Power Ratings'!$A$5:$A$104,0)),""))</f>
        <v/>
      </c>
      <c r="I16" s="11" t="str">
        <f>IF(OR($B16="",$E16=""),"",IFERROR($E16*INDEX('Power Ratings'!$P$5:$P$104,MATCH($B16,'Power Ratings'!$A$5:$A$104,0)),""))</f>
        <v/>
      </c>
      <c r="J16" s="11" t="str">
        <f>IF(OR($B16="",$E16=""),"",IFERROR($E16*INDEX('Power Ratings'!$Q$5:$Q$104,MATCH($B16,'Power Ratings'!$A$5:$A$104,0)),""))</f>
        <v/>
      </c>
      <c r="K16" s="11" t="str">
        <f>IF(OR($B16="",$E16=""),"",IFERROR($E16*INDEX('Power Ratings'!$R$5:$R$104,MATCH($B16,'Power Ratings'!$A$5:$A$104,0)),""))</f>
        <v/>
      </c>
      <c r="L16" s="14" t="str">
        <f t="shared" si="1"/>
        <v/>
      </c>
      <c r="M16" s="5"/>
    </row>
    <row r="17" spans="1:13">
      <c r="A17">
        <v>9</v>
      </c>
      <c r="B17" s="5"/>
      <c r="C17" s="8"/>
      <c r="D17" s="8"/>
      <c r="E17" s="13" t="str">
        <f t="shared" si="0"/>
        <v/>
      </c>
      <c r="F17" s="14" t="str">
        <f>IFERROR(INDEX('Power Ratings'!$B$5:$B$104,MATCH($B17,'Power Ratings'!$A$5:$A$104,0)),"")</f>
        <v/>
      </c>
      <c r="G17" s="11" t="str">
        <f>IF(OR($B17="",$E17=""),"",IFERROR($E17*INDEX('Power Ratings'!$N$5:$N$104,MATCH($B17,'Power Ratings'!$A$5:$A$104,0)),""))</f>
        <v/>
      </c>
      <c r="H17" s="11" t="str">
        <f>IF(OR($B17="",$E17=""),"",IFERROR($E17*INDEX('Power Ratings'!$O$5:$O$104,MATCH($B17,'Power Ratings'!$A$5:$A$104,0)),""))</f>
        <v/>
      </c>
      <c r="I17" s="11" t="str">
        <f>IF(OR($B17="",$E17=""),"",IFERROR($E17*INDEX('Power Ratings'!$P$5:$P$104,MATCH($B17,'Power Ratings'!$A$5:$A$104,0)),""))</f>
        <v/>
      </c>
      <c r="J17" s="11" t="str">
        <f>IF(OR($B17="",$E17=""),"",IFERROR($E17*INDEX('Power Ratings'!$Q$5:$Q$104,MATCH($B17,'Power Ratings'!$A$5:$A$104,0)),""))</f>
        <v/>
      </c>
      <c r="K17" s="11" t="str">
        <f>IF(OR($B17="",$E17=""),"",IFERROR($E17*INDEX('Power Ratings'!$R$5:$R$104,MATCH($B17,'Power Ratings'!$A$5:$A$104,0)),""))</f>
        <v/>
      </c>
      <c r="L17" s="14" t="str">
        <f t="shared" si="1"/>
        <v/>
      </c>
      <c r="M17" s="5"/>
    </row>
    <row r="18" spans="1:13">
      <c r="A18">
        <v>10</v>
      </c>
      <c r="B18" s="5"/>
      <c r="C18" s="8"/>
      <c r="D18" s="8"/>
      <c r="E18" s="13" t="str">
        <f t="shared" si="0"/>
        <v/>
      </c>
      <c r="F18" s="14" t="str">
        <f>IFERROR(INDEX('Power Ratings'!$B$5:$B$104,MATCH($B18,'Power Ratings'!$A$5:$A$104,0)),"")</f>
        <v/>
      </c>
      <c r="G18" s="11" t="str">
        <f>IF(OR($B18="",$E18=""),"",IFERROR($E18*INDEX('Power Ratings'!$N$5:$N$104,MATCH($B18,'Power Ratings'!$A$5:$A$104,0)),""))</f>
        <v/>
      </c>
      <c r="H18" s="11" t="str">
        <f>IF(OR($B18="",$E18=""),"",IFERROR($E18*INDEX('Power Ratings'!$O$5:$O$104,MATCH($B18,'Power Ratings'!$A$5:$A$104,0)),""))</f>
        <v/>
      </c>
      <c r="I18" s="11" t="str">
        <f>IF(OR($B18="",$E18=""),"",IFERROR($E18*INDEX('Power Ratings'!$P$5:$P$104,MATCH($B18,'Power Ratings'!$A$5:$A$104,0)),""))</f>
        <v/>
      </c>
      <c r="J18" s="11" t="str">
        <f>IF(OR($B18="",$E18=""),"",IFERROR($E18*INDEX('Power Ratings'!$Q$5:$Q$104,MATCH($B18,'Power Ratings'!$A$5:$A$104,0)),""))</f>
        <v/>
      </c>
      <c r="K18" s="11" t="str">
        <f>IF(OR($B18="",$E18=""),"",IFERROR($E18*INDEX('Power Ratings'!$R$5:$R$104,MATCH($B18,'Power Ratings'!$A$5:$A$104,0)),""))</f>
        <v/>
      </c>
      <c r="L18" s="14" t="str">
        <f t="shared" si="1"/>
        <v/>
      </c>
      <c r="M18" s="5"/>
    </row>
    <row r="19" spans="1:13">
      <c r="A19">
        <v>11</v>
      </c>
      <c r="B19" s="5"/>
      <c r="C19" s="8"/>
      <c r="D19" s="8"/>
      <c r="E19" s="13" t="str">
        <f t="shared" si="0"/>
        <v/>
      </c>
      <c r="F19" s="14" t="str">
        <f>IFERROR(INDEX('Power Ratings'!$B$5:$B$104,MATCH($B19,'Power Ratings'!$A$5:$A$104,0)),"")</f>
        <v/>
      </c>
      <c r="G19" s="11" t="str">
        <f>IF(OR($B19="",$E19=""),"",IFERROR($E19*INDEX('Power Ratings'!$N$5:$N$104,MATCH($B19,'Power Ratings'!$A$5:$A$104,0)),""))</f>
        <v/>
      </c>
      <c r="H19" s="11" t="str">
        <f>IF(OR($B19="",$E19=""),"",IFERROR($E19*INDEX('Power Ratings'!$O$5:$O$104,MATCH($B19,'Power Ratings'!$A$5:$A$104,0)),""))</f>
        <v/>
      </c>
      <c r="I19" s="11" t="str">
        <f>IF(OR($B19="",$E19=""),"",IFERROR($E19*INDEX('Power Ratings'!$P$5:$P$104,MATCH($B19,'Power Ratings'!$A$5:$A$104,0)),""))</f>
        <v/>
      </c>
      <c r="J19" s="11" t="str">
        <f>IF(OR($B19="",$E19=""),"",IFERROR($E19*INDEX('Power Ratings'!$Q$5:$Q$104,MATCH($B19,'Power Ratings'!$A$5:$A$104,0)),""))</f>
        <v/>
      </c>
      <c r="K19" s="11" t="str">
        <f>IF(OR($B19="",$E19=""),"",IFERROR($E19*INDEX('Power Ratings'!$R$5:$R$104,MATCH($B19,'Power Ratings'!$A$5:$A$104,0)),""))</f>
        <v/>
      </c>
      <c r="L19" s="14" t="str">
        <f t="shared" si="1"/>
        <v/>
      </c>
      <c r="M19" s="5"/>
    </row>
    <row r="20" spans="1:13">
      <c r="A20">
        <v>12</v>
      </c>
      <c r="B20" s="5"/>
      <c r="C20" s="8"/>
      <c r="D20" s="8"/>
      <c r="E20" s="13" t="str">
        <f t="shared" si="0"/>
        <v/>
      </c>
      <c r="F20" s="14" t="str">
        <f>IFERROR(INDEX('Power Ratings'!$B$5:$B$104,MATCH($B20,'Power Ratings'!$A$5:$A$104,0)),"")</f>
        <v/>
      </c>
      <c r="G20" s="11" t="str">
        <f>IF(OR($B20="",$E20=""),"",IFERROR($E20*INDEX('Power Ratings'!$N$5:$N$104,MATCH($B20,'Power Ratings'!$A$5:$A$104,0)),""))</f>
        <v/>
      </c>
      <c r="H20" s="11" t="str">
        <f>IF(OR($B20="",$E20=""),"",IFERROR($E20*INDEX('Power Ratings'!$O$5:$O$104,MATCH($B20,'Power Ratings'!$A$5:$A$104,0)),""))</f>
        <v/>
      </c>
      <c r="I20" s="11" t="str">
        <f>IF(OR($B20="",$E20=""),"",IFERROR($E20*INDEX('Power Ratings'!$P$5:$P$104,MATCH($B20,'Power Ratings'!$A$5:$A$104,0)),""))</f>
        <v/>
      </c>
      <c r="J20" s="11" t="str">
        <f>IF(OR($B20="",$E20=""),"",IFERROR($E20*INDEX('Power Ratings'!$Q$5:$Q$104,MATCH($B20,'Power Ratings'!$A$5:$A$104,0)),""))</f>
        <v/>
      </c>
      <c r="K20" s="11" t="str">
        <f>IF(OR($B20="",$E20=""),"",IFERROR($E20*INDEX('Power Ratings'!$R$5:$R$104,MATCH($B20,'Power Ratings'!$A$5:$A$104,0)),""))</f>
        <v/>
      </c>
      <c r="L20" s="14" t="str">
        <f t="shared" si="1"/>
        <v/>
      </c>
      <c r="M20" s="5"/>
    </row>
    <row r="21" spans="1:13">
      <c r="A21">
        <v>13</v>
      </c>
      <c r="B21" s="5"/>
      <c r="C21" s="8"/>
      <c r="D21" s="8"/>
      <c r="E21" s="13" t="str">
        <f t="shared" si="0"/>
        <v/>
      </c>
      <c r="F21" s="14" t="str">
        <f>IFERROR(INDEX('Power Ratings'!$B$5:$B$104,MATCH($B21,'Power Ratings'!$A$5:$A$104,0)),"")</f>
        <v/>
      </c>
      <c r="G21" s="11" t="str">
        <f>IF(OR($B21="",$E21=""),"",IFERROR($E21*INDEX('Power Ratings'!$N$5:$N$104,MATCH($B21,'Power Ratings'!$A$5:$A$104,0)),""))</f>
        <v/>
      </c>
      <c r="H21" s="11" t="str">
        <f>IF(OR($B21="",$E21=""),"",IFERROR($E21*INDEX('Power Ratings'!$O$5:$O$104,MATCH($B21,'Power Ratings'!$A$5:$A$104,0)),""))</f>
        <v/>
      </c>
      <c r="I21" s="11" t="str">
        <f>IF(OR($B21="",$E21=""),"",IFERROR($E21*INDEX('Power Ratings'!$P$5:$P$104,MATCH($B21,'Power Ratings'!$A$5:$A$104,0)),""))</f>
        <v/>
      </c>
      <c r="J21" s="11" t="str">
        <f>IF(OR($B21="",$E21=""),"",IFERROR($E21*INDEX('Power Ratings'!$Q$5:$Q$104,MATCH($B21,'Power Ratings'!$A$5:$A$104,0)),""))</f>
        <v/>
      </c>
      <c r="K21" s="11" t="str">
        <f>IF(OR($B21="",$E21=""),"",IFERROR($E21*INDEX('Power Ratings'!$R$5:$R$104,MATCH($B21,'Power Ratings'!$A$5:$A$104,0)),""))</f>
        <v/>
      </c>
      <c r="L21" s="14" t="str">
        <f t="shared" si="1"/>
        <v/>
      </c>
      <c r="M21" s="5"/>
    </row>
    <row r="22" spans="1:13">
      <c r="A22">
        <v>14</v>
      </c>
      <c r="B22" s="5"/>
      <c r="C22" s="8"/>
      <c r="D22" s="8"/>
      <c r="E22" s="13" t="str">
        <f t="shared" si="0"/>
        <v/>
      </c>
      <c r="F22" s="14" t="str">
        <f>IFERROR(INDEX('Power Ratings'!$B$5:$B$104,MATCH($B22,'Power Ratings'!$A$5:$A$104,0)),"")</f>
        <v/>
      </c>
      <c r="G22" s="11" t="str">
        <f>IF(OR($B22="",$E22=""),"",IFERROR($E22*INDEX('Power Ratings'!$N$5:$N$104,MATCH($B22,'Power Ratings'!$A$5:$A$104,0)),""))</f>
        <v/>
      </c>
      <c r="H22" s="11" t="str">
        <f>IF(OR($B22="",$E22=""),"",IFERROR($E22*INDEX('Power Ratings'!$O$5:$O$104,MATCH($B22,'Power Ratings'!$A$5:$A$104,0)),""))</f>
        <v/>
      </c>
      <c r="I22" s="11" t="str">
        <f>IF(OR($B22="",$E22=""),"",IFERROR($E22*INDEX('Power Ratings'!$P$5:$P$104,MATCH($B22,'Power Ratings'!$A$5:$A$104,0)),""))</f>
        <v/>
      </c>
      <c r="J22" s="11" t="str">
        <f>IF(OR($B22="",$E22=""),"",IFERROR($E22*INDEX('Power Ratings'!$Q$5:$Q$104,MATCH($B22,'Power Ratings'!$A$5:$A$104,0)),""))</f>
        <v/>
      </c>
      <c r="K22" s="11" t="str">
        <f>IF(OR($B22="",$E22=""),"",IFERROR($E22*INDEX('Power Ratings'!$R$5:$R$104,MATCH($B22,'Power Ratings'!$A$5:$A$104,0)),""))</f>
        <v/>
      </c>
      <c r="L22" s="14" t="str">
        <f t="shared" si="1"/>
        <v/>
      </c>
      <c r="M22" s="5"/>
    </row>
    <row r="23" spans="1:13">
      <c r="A23">
        <v>15</v>
      </c>
      <c r="B23" s="5"/>
      <c r="C23" s="8"/>
      <c r="D23" s="8"/>
      <c r="E23" s="13" t="str">
        <f t="shared" si="0"/>
        <v/>
      </c>
      <c r="F23" s="14" t="str">
        <f>IFERROR(INDEX('Power Ratings'!$B$5:$B$104,MATCH($B23,'Power Ratings'!$A$5:$A$104,0)),"")</f>
        <v/>
      </c>
      <c r="G23" s="11" t="str">
        <f>IF(OR($B23="",$E23=""),"",IFERROR($E23*INDEX('Power Ratings'!$N$5:$N$104,MATCH($B23,'Power Ratings'!$A$5:$A$104,0)),""))</f>
        <v/>
      </c>
      <c r="H23" s="11" t="str">
        <f>IF(OR($B23="",$E23=""),"",IFERROR($E23*INDEX('Power Ratings'!$O$5:$O$104,MATCH($B23,'Power Ratings'!$A$5:$A$104,0)),""))</f>
        <v/>
      </c>
      <c r="I23" s="11" t="str">
        <f>IF(OR($B23="",$E23=""),"",IFERROR($E23*INDEX('Power Ratings'!$P$5:$P$104,MATCH($B23,'Power Ratings'!$A$5:$A$104,0)),""))</f>
        <v/>
      </c>
      <c r="J23" s="11" t="str">
        <f>IF(OR($B23="",$E23=""),"",IFERROR($E23*INDEX('Power Ratings'!$Q$5:$Q$104,MATCH($B23,'Power Ratings'!$A$5:$A$104,0)),""))</f>
        <v/>
      </c>
      <c r="K23" s="11" t="str">
        <f>IF(OR($B23="",$E23=""),"",IFERROR($E23*INDEX('Power Ratings'!$R$5:$R$104,MATCH($B23,'Power Ratings'!$A$5:$A$104,0)),""))</f>
        <v/>
      </c>
      <c r="L23" s="14" t="str">
        <f t="shared" si="1"/>
        <v/>
      </c>
      <c r="M23" s="5"/>
    </row>
    <row r="24" spans="1:13">
      <c r="A24">
        <v>16</v>
      </c>
      <c r="B24" s="5"/>
      <c r="C24" s="8"/>
      <c r="D24" s="8"/>
      <c r="E24" s="13" t="str">
        <f t="shared" si="0"/>
        <v/>
      </c>
      <c r="F24" s="14" t="str">
        <f>IFERROR(INDEX('Power Ratings'!$B$5:$B$104,MATCH($B24,'Power Ratings'!$A$5:$A$104,0)),"")</f>
        <v/>
      </c>
      <c r="G24" s="11" t="str">
        <f>IF(OR($B24="",$E24=""),"",IFERROR($E24*INDEX('Power Ratings'!$N$5:$N$104,MATCH($B24,'Power Ratings'!$A$5:$A$104,0)),""))</f>
        <v/>
      </c>
      <c r="H24" s="11" t="str">
        <f>IF(OR($B24="",$E24=""),"",IFERROR($E24*INDEX('Power Ratings'!$O$5:$O$104,MATCH($B24,'Power Ratings'!$A$5:$A$104,0)),""))</f>
        <v/>
      </c>
      <c r="I24" s="11" t="str">
        <f>IF(OR($B24="",$E24=""),"",IFERROR($E24*INDEX('Power Ratings'!$P$5:$P$104,MATCH($B24,'Power Ratings'!$A$5:$A$104,0)),""))</f>
        <v/>
      </c>
      <c r="J24" s="11" t="str">
        <f>IF(OR($B24="",$E24=""),"",IFERROR($E24*INDEX('Power Ratings'!$Q$5:$Q$104,MATCH($B24,'Power Ratings'!$A$5:$A$104,0)),""))</f>
        <v/>
      </c>
      <c r="K24" s="11" t="str">
        <f>IF(OR($B24="",$E24=""),"",IFERROR($E24*INDEX('Power Ratings'!$R$5:$R$104,MATCH($B24,'Power Ratings'!$A$5:$A$104,0)),""))</f>
        <v/>
      </c>
      <c r="L24" s="14" t="str">
        <f t="shared" si="1"/>
        <v/>
      </c>
      <c r="M24" s="5"/>
    </row>
    <row r="25" spans="1:13">
      <c r="A25">
        <v>17</v>
      </c>
      <c r="B25" s="5"/>
      <c r="C25" s="8"/>
      <c r="D25" s="8"/>
      <c r="E25" s="13" t="str">
        <f t="shared" si="0"/>
        <v/>
      </c>
      <c r="F25" s="14" t="str">
        <f>IFERROR(INDEX('Power Ratings'!$B$5:$B$104,MATCH($B25,'Power Ratings'!$A$5:$A$104,0)),"")</f>
        <v/>
      </c>
      <c r="G25" s="11" t="str">
        <f>IF(OR($B25="",$E25=""),"",IFERROR($E25*INDEX('Power Ratings'!$N$5:$N$104,MATCH($B25,'Power Ratings'!$A$5:$A$104,0)),""))</f>
        <v/>
      </c>
      <c r="H25" s="11" t="str">
        <f>IF(OR($B25="",$E25=""),"",IFERROR($E25*INDEX('Power Ratings'!$O$5:$O$104,MATCH($B25,'Power Ratings'!$A$5:$A$104,0)),""))</f>
        <v/>
      </c>
      <c r="I25" s="11" t="str">
        <f>IF(OR($B25="",$E25=""),"",IFERROR($E25*INDEX('Power Ratings'!$P$5:$P$104,MATCH($B25,'Power Ratings'!$A$5:$A$104,0)),""))</f>
        <v/>
      </c>
      <c r="J25" s="11" t="str">
        <f>IF(OR($B25="",$E25=""),"",IFERROR($E25*INDEX('Power Ratings'!$Q$5:$Q$104,MATCH($B25,'Power Ratings'!$A$5:$A$104,0)),""))</f>
        <v/>
      </c>
      <c r="K25" s="11" t="str">
        <f>IF(OR($B25="",$E25=""),"",IFERROR($E25*INDEX('Power Ratings'!$R$5:$R$104,MATCH($B25,'Power Ratings'!$A$5:$A$104,0)),""))</f>
        <v/>
      </c>
      <c r="L25" s="14" t="str">
        <f t="shared" si="1"/>
        <v/>
      </c>
      <c r="M25" s="5"/>
    </row>
    <row r="26" spans="1:13">
      <c r="A26">
        <v>18</v>
      </c>
      <c r="B26" s="5"/>
      <c r="C26" s="8"/>
      <c r="D26" s="8"/>
      <c r="E26" s="13" t="str">
        <f t="shared" si="0"/>
        <v/>
      </c>
      <c r="F26" s="14" t="str">
        <f>IFERROR(INDEX('Power Ratings'!$B$5:$B$104,MATCH($B26,'Power Ratings'!$A$5:$A$104,0)),"")</f>
        <v/>
      </c>
      <c r="G26" s="11" t="str">
        <f>IF(OR($B26="",$E26=""),"",IFERROR($E26*INDEX('Power Ratings'!$N$5:$N$104,MATCH($B26,'Power Ratings'!$A$5:$A$104,0)),""))</f>
        <v/>
      </c>
      <c r="H26" s="11" t="str">
        <f>IF(OR($B26="",$E26=""),"",IFERROR($E26*INDEX('Power Ratings'!$O$5:$O$104,MATCH($B26,'Power Ratings'!$A$5:$A$104,0)),""))</f>
        <v/>
      </c>
      <c r="I26" s="11" t="str">
        <f>IF(OR($B26="",$E26=""),"",IFERROR($E26*INDEX('Power Ratings'!$P$5:$P$104,MATCH($B26,'Power Ratings'!$A$5:$A$104,0)),""))</f>
        <v/>
      </c>
      <c r="J26" s="11" t="str">
        <f>IF(OR($B26="",$E26=""),"",IFERROR($E26*INDEX('Power Ratings'!$Q$5:$Q$104,MATCH($B26,'Power Ratings'!$A$5:$A$104,0)),""))</f>
        <v/>
      </c>
      <c r="K26" s="11" t="str">
        <f>IF(OR($B26="",$E26=""),"",IFERROR($E26*INDEX('Power Ratings'!$R$5:$R$104,MATCH($B26,'Power Ratings'!$A$5:$A$104,0)),""))</f>
        <v/>
      </c>
      <c r="L26" s="14" t="str">
        <f t="shared" si="1"/>
        <v/>
      </c>
      <c r="M26" s="5"/>
    </row>
    <row r="27" spans="1:13">
      <c r="A27">
        <v>19</v>
      </c>
      <c r="B27" s="5"/>
      <c r="C27" s="8"/>
      <c r="D27" s="8"/>
      <c r="E27" s="13" t="str">
        <f t="shared" si="0"/>
        <v/>
      </c>
      <c r="F27" s="14" t="str">
        <f>IFERROR(INDEX('Power Ratings'!$B$5:$B$104,MATCH($B27,'Power Ratings'!$A$5:$A$104,0)),"")</f>
        <v/>
      </c>
      <c r="G27" s="11" t="str">
        <f>IF(OR($B27="",$E27=""),"",IFERROR($E27*INDEX('Power Ratings'!$N$5:$N$104,MATCH($B27,'Power Ratings'!$A$5:$A$104,0)),""))</f>
        <v/>
      </c>
      <c r="H27" s="11" t="str">
        <f>IF(OR($B27="",$E27=""),"",IFERROR($E27*INDEX('Power Ratings'!$O$5:$O$104,MATCH($B27,'Power Ratings'!$A$5:$A$104,0)),""))</f>
        <v/>
      </c>
      <c r="I27" s="11" t="str">
        <f>IF(OR($B27="",$E27=""),"",IFERROR($E27*INDEX('Power Ratings'!$P$5:$P$104,MATCH($B27,'Power Ratings'!$A$5:$A$104,0)),""))</f>
        <v/>
      </c>
      <c r="J27" s="11" t="str">
        <f>IF(OR($B27="",$E27=""),"",IFERROR($E27*INDEX('Power Ratings'!$Q$5:$Q$104,MATCH($B27,'Power Ratings'!$A$5:$A$104,0)),""))</f>
        <v/>
      </c>
      <c r="K27" s="11" t="str">
        <f>IF(OR($B27="",$E27=""),"",IFERROR($E27*INDEX('Power Ratings'!$R$5:$R$104,MATCH($B27,'Power Ratings'!$A$5:$A$104,0)),""))</f>
        <v/>
      </c>
      <c r="L27" s="14" t="str">
        <f t="shared" si="1"/>
        <v/>
      </c>
      <c r="M27" s="5"/>
    </row>
    <row r="28" spans="1:13">
      <c r="A28">
        <v>20</v>
      </c>
      <c r="B28" s="5"/>
      <c r="C28" s="8"/>
      <c r="D28" s="8"/>
      <c r="E28" s="13" t="str">
        <f t="shared" si="0"/>
        <v/>
      </c>
      <c r="F28" s="14" t="str">
        <f>IFERROR(INDEX('Power Ratings'!$B$5:$B$104,MATCH($B28,'Power Ratings'!$A$5:$A$104,0)),"")</f>
        <v/>
      </c>
      <c r="G28" s="11" t="str">
        <f>IF(OR($B28="",$E28=""),"",IFERROR($E28*INDEX('Power Ratings'!$N$5:$N$104,MATCH($B28,'Power Ratings'!$A$5:$A$104,0)),""))</f>
        <v/>
      </c>
      <c r="H28" s="11" t="str">
        <f>IF(OR($B28="",$E28=""),"",IFERROR($E28*INDEX('Power Ratings'!$O$5:$O$104,MATCH($B28,'Power Ratings'!$A$5:$A$104,0)),""))</f>
        <v/>
      </c>
      <c r="I28" s="11" t="str">
        <f>IF(OR($B28="",$E28=""),"",IFERROR($E28*INDEX('Power Ratings'!$P$5:$P$104,MATCH($B28,'Power Ratings'!$A$5:$A$104,0)),""))</f>
        <v/>
      </c>
      <c r="J28" s="11" t="str">
        <f>IF(OR($B28="",$E28=""),"",IFERROR($E28*INDEX('Power Ratings'!$Q$5:$Q$104,MATCH($B28,'Power Ratings'!$A$5:$A$104,0)),""))</f>
        <v/>
      </c>
      <c r="K28" s="11" t="str">
        <f>IF(OR($B28="",$E28=""),"",IFERROR($E28*INDEX('Power Ratings'!$R$5:$R$104,MATCH($B28,'Power Ratings'!$A$5:$A$104,0)),""))</f>
        <v/>
      </c>
      <c r="L28" s="14" t="str">
        <f t="shared" si="1"/>
        <v/>
      </c>
      <c r="M28" s="5"/>
    </row>
    <row r="29" spans="1:13">
      <c r="A29">
        <v>21</v>
      </c>
      <c r="B29" s="5"/>
      <c r="C29" s="8"/>
      <c r="D29" s="8"/>
      <c r="E29" s="13" t="str">
        <f t="shared" si="0"/>
        <v/>
      </c>
      <c r="F29" s="14" t="str">
        <f>IFERROR(INDEX('Power Ratings'!$B$5:$B$104,MATCH($B29,'Power Ratings'!$A$5:$A$104,0)),"")</f>
        <v/>
      </c>
      <c r="G29" s="11" t="str">
        <f>IF(OR($B29="",$E29=""),"",IFERROR($E29*INDEX('Power Ratings'!$N$5:$N$104,MATCH($B29,'Power Ratings'!$A$5:$A$104,0)),""))</f>
        <v/>
      </c>
      <c r="H29" s="11" t="str">
        <f>IF(OR($B29="",$E29=""),"",IFERROR($E29*INDEX('Power Ratings'!$O$5:$O$104,MATCH($B29,'Power Ratings'!$A$5:$A$104,0)),""))</f>
        <v/>
      </c>
      <c r="I29" s="11" t="str">
        <f>IF(OR($B29="",$E29=""),"",IFERROR($E29*INDEX('Power Ratings'!$P$5:$P$104,MATCH($B29,'Power Ratings'!$A$5:$A$104,0)),""))</f>
        <v/>
      </c>
      <c r="J29" s="11" t="str">
        <f>IF(OR($B29="",$E29=""),"",IFERROR($E29*INDEX('Power Ratings'!$Q$5:$Q$104,MATCH($B29,'Power Ratings'!$A$5:$A$104,0)),""))</f>
        <v/>
      </c>
      <c r="K29" s="11" t="str">
        <f>IF(OR($B29="",$E29=""),"",IFERROR($E29*INDEX('Power Ratings'!$R$5:$R$104,MATCH($B29,'Power Ratings'!$A$5:$A$104,0)),""))</f>
        <v/>
      </c>
      <c r="L29" s="14" t="str">
        <f t="shared" si="1"/>
        <v/>
      </c>
      <c r="M29" s="5"/>
    </row>
    <row r="30" spans="1:13">
      <c r="A30">
        <v>22</v>
      </c>
      <c r="B30" s="5"/>
      <c r="C30" s="8"/>
      <c r="D30" s="8"/>
      <c r="E30" s="13" t="str">
        <f t="shared" si="0"/>
        <v/>
      </c>
      <c r="F30" s="14" t="str">
        <f>IFERROR(INDEX('Power Ratings'!$B$5:$B$104,MATCH($B30,'Power Ratings'!$A$5:$A$104,0)),"")</f>
        <v/>
      </c>
      <c r="G30" s="11" t="str">
        <f>IF(OR($B30="",$E30=""),"",IFERROR($E30*INDEX('Power Ratings'!$N$5:$N$104,MATCH($B30,'Power Ratings'!$A$5:$A$104,0)),""))</f>
        <v/>
      </c>
      <c r="H30" s="11" t="str">
        <f>IF(OR($B30="",$E30=""),"",IFERROR($E30*INDEX('Power Ratings'!$O$5:$O$104,MATCH($B30,'Power Ratings'!$A$5:$A$104,0)),""))</f>
        <v/>
      </c>
      <c r="I30" s="11" t="str">
        <f>IF(OR($B30="",$E30=""),"",IFERROR($E30*INDEX('Power Ratings'!$P$5:$P$104,MATCH($B30,'Power Ratings'!$A$5:$A$104,0)),""))</f>
        <v/>
      </c>
      <c r="J30" s="11" t="str">
        <f>IF(OR($B30="",$E30=""),"",IFERROR($E30*INDEX('Power Ratings'!$Q$5:$Q$104,MATCH($B30,'Power Ratings'!$A$5:$A$104,0)),""))</f>
        <v/>
      </c>
      <c r="K30" s="11" t="str">
        <f>IF(OR($B30="",$E30=""),"",IFERROR($E30*INDEX('Power Ratings'!$R$5:$R$104,MATCH($B30,'Power Ratings'!$A$5:$A$104,0)),""))</f>
        <v/>
      </c>
      <c r="L30" s="14" t="str">
        <f t="shared" si="1"/>
        <v/>
      </c>
      <c r="M30" s="5"/>
    </row>
    <row r="31" spans="1:13">
      <c r="A31">
        <v>23</v>
      </c>
      <c r="B31" s="5"/>
      <c r="C31" s="8"/>
      <c r="D31" s="8"/>
      <c r="E31" s="13" t="str">
        <f t="shared" si="0"/>
        <v/>
      </c>
      <c r="F31" s="14" t="str">
        <f>IFERROR(INDEX('Power Ratings'!$B$5:$B$104,MATCH($B31,'Power Ratings'!$A$5:$A$104,0)),"")</f>
        <v/>
      </c>
      <c r="G31" s="11" t="str">
        <f>IF(OR($B31="",$E31=""),"",IFERROR($E31*INDEX('Power Ratings'!$N$5:$N$104,MATCH($B31,'Power Ratings'!$A$5:$A$104,0)),""))</f>
        <v/>
      </c>
      <c r="H31" s="11" t="str">
        <f>IF(OR($B31="",$E31=""),"",IFERROR($E31*INDEX('Power Ratings'!$O$5:$O$104,MATCH($B31,'Power Ratings'!$A$5:$A$104,0)),""))</f>
        <v/>
      </c>
      <c r="I31" s="11" t="str">
        <f>IF(OR($B31="",$E31=""),"",IFERROR($E31*INDEX('Power Ratings'!$P$5:$P$104,MATCH($B31,'Power Ratings'!$A$5:$A$104,0)),""))</f>
        <v/>
      </c>
      <c r="J31" s="11" t="str">
        <f>IF(OR($B31="",$E31=""),"",IFERROR($E31*INDEX('Power Ratings'!$Q$5:$Q$104,MATCH($B31,'Power Ratings'!$A$5:$A$104,0)),""))</f>
        <v/>
      </c>
      <c r="K31" s="11" t="str">
        <f>IF(OR($B31="",$E31=""),"",IFERROR($E31*INDEX('Power Ratings'!$R$5:$R$104,MATCH($B31,'Power Ratings'!$A$5:$A$104,0)),""))</f>
        <v/>
      </c>
      <c r="L31" s="14" t="str">
        <f t="shared" si="1"/>
        <v/>
      </c>
      <c r="M31" s="5"/>
    </row>
    <row r="32" spans="1:13">
      <c r="A32">
        <v>24</v>
      </c>
      <c r="B32" s="5"/>
      <c r="C32" s="8"/>
      <c r="D32" s="8"/>
      <c r="E32" s="13" t="str">
        <f t="shared" si="0"/>
        <v/>
      </c>
      <c r="F32" s="14" t="str">
        <f>IFERROR(INDEX('Power Ratings'!$B$5:$B$104,MATCH($B32,'Power Ratings'!$A$5:$A$104,0)),"")</f>
        <v/>
      </c>
      <c r="G32" s="11" t="str">
        <f>IF(OR($B32="",$E32=""),"",IFERROR($E32*INDEX('Power Ratings'!$N$5:$N$104,MATCH($B32,'Power Ratings'!$A$5:$A$104,0)),""))</f>
        <v/>
      </c>
      <c r="H32" s="11" t="str">
        <f>IF(OR($B32="",$E32=""),"",IFERROR($E32*INDEX('Power Ratings'!$O$5:$O$104,MATCH($B32,'Power Ratings'!$A$5:$A$104,0)),""))</f>
        <v/>
      </c>
      <c r="I32" s="11" t="str">
        <f>IF(OR($B32="",$E32=""),"",IFERROR($E32*INDEX('Power Ratings'!$P$5:$P$104,MATCH($B32,'Power Ratings'!$A$5:$A$104,0)),""))</f>
        <v/>
      </c>
      <c r="J32" s="11" t="str">
        <f>IF(OR($B32="",$E32=""),"",IFERROR($E32*INDEX('Power Ratings'!$Q$5:$Q$104,MATCH($B32,'Power Ratings'!$A$5:$A$104,0)),""))</f>
        <v/>
      </c>
      <c r="K32" s="11" t="str">
        <f>IF(OR($B32="",$E32=""),"",IFERROR($E32*INDEX('Power Ratings'!$R$5:$R$104,MATCH($B32,'Power Ratings'!$A$5:$A$104,0)),""))</f>
        <v/>
      </c>
      <c r="L32" s="14" t="str">
        <f t="shared" si="1"/>
        <v/>
      </c>
      <c r="M32" s="5"/>
    </row>
    <row r="33" spans="1:13">
      <c r="A33">
        <v>25</v>
      </c>
      <c r="B33" s="5"/>
      <c r="C33" s="8"/>
      <c r="D33" s="8"/>
      <c r="E33" s="13" t="str">
        <f t="shared" si="0"/>
        <v/>
      </c>
      <c r="F33" s="14" t="str">
        <f>IFERROR(INDEX('Power Ratings'!$B$5:$B$104,MATCH($B33,'Power Ratings'!$A$5:$A$104,0)),"")</f>
        <v/>
      </c>
      <c r="G33" s="11" t="str">
        <f>IF(OR($B33="",$E33=""),"",IFERROR($E33*INDEX('Power Ratings'!$N$5:$N$104,MATCH($B33,'Power Ratings'!$A$5:$A$104,0)),""))</f>
        <v/>
      </c>
      <c r="H33" s="11" t="str">
        <f>IF(OR($B33="",$E33=""),"",IFERROR($E33*INDEX('Power Ratings'!$O$5:$O$104,MATCH($B33,'Power Ratings'!$A$5:$A$104,0)),""))</f>
        <v/>
      </c>
      <c r="I33" s="11" t="str">
        <f>IF(OR($B33="",$E33=""),"",IFERROR($E33*INDEX('Power Ratings'!$P$5:$P$104,MATCH($B33,'Power Ratings'!$A$5:$A$104,0)),""))</f>
        <v/>
      </c>
      <c r="J33" s="11" t="str">
        <f>IF(OR($B33="",$E33=""),"",IFERROR($E33*INDEX('Power Ratings'!$Q$5:$Q$104,MATCH($B33,'Power Ratings'!$A$5:$A$104,0)),""))</f>
        <v/>
      </c>
      <c r="K33" s="11" t="str">
        <f>IF(OR($B33="",$E33=""),"",IFERROR($E33*INDEX('Power Ratings'!$R$5:$R$104,MATCH($B33,'Power Ratings'!$A$5:$A$104,0)),""))</f>
        <v/>
      </c>
      <c r="L33" s="14" t="str">
        <f t="shared" si="1"/>
        <v/>
      </c>
      <c r="M33" s="5"/>
    </row>
    <row r="34" spans="1:13">
      <c r="A34">
        <v>26</v>
      </c>
      <c r="B34" s="5"/>
      <c r="C34" s="8"/>
      <c r="D34" s="8"/>
      <c r="E34" s="13" t="str">
        <f t="shared" si="0"/>
        <v/>
      </c>
      <c r="F34" s="14" t="str">
        <f>IFERROR(INDEX('Power Ratings'!$B$5:$B$104,MATCH($B34,'Power Ratings'!$A$5:$A$104,0)),"")</f>
        <v/>
      </c>
      <c r="G34" s="11" t="str">
        <f>IF(OR($B34="",$E34=""),"",IFERROR($E34*INDEX('Power Ratings'!$N$5:$N$104,MATCH($B34,'Power Ratings'!$A$5:$A$104,0)),""))</f>
        <v/>
      </c>
      <c r="H34" s="11" t="str">
        <f>IF(OR($B34="",$E34=""),"",IFERROR($E34*INDEX('Power Ratings'!$O$5:$O$104,MATCH($B34,'Power Ratings'!$A$5:$A$104,0)),""))</f>
        <v/>
      </c>
      <c r="I34" s="11" t="str">
        <f>IF(OR($B34="",$E34=""),"",IFERROR($E34*INDEX('Power Ratings'!$P$5:$P$104,MATCH($B34,'Power Ratings'!$A$5:$A$104,0)),""))</f>
        <v/>
      </c>
      <c r="J34" s="11" t="str">
        <f>IF(OR($B34="",$E34=""),"",IFERROR($E34*INDEX('Power Ratings'!$Q$5:$Q$104,MATCH($B34,'Power Ratings'!$A$5:$A$104,0)),""))</f>
        <v/>
      </c>
      <c r="K34" s="11" t="str">
        <f>IF(OR($B34="",$E34=""),"",IFERROR($E34*INDEX('Power Ratings'!$R$5:$R$104,MATCH($B34,'Power Ratings'!$A$5:$A$104,0)),""))</f>
        <v/>
      </c>
      <c r="L34" s="14" t="str">
        <f t="shared" si="1"/>
        <v/>
      </c>
      <c r="M34" s="5"/>
    </row>
    <row r="35" spans="1:13">
      <c r="A35">
        <v>27</v>
      </c>
      <c r="B35" s="5"/>
      <c r="C35" s="8"/>
      <c r="D35" s="8"/>
      <c r="E35" s="13" t="str">
        <f t="shared" si="0"/>
        <v/>
      </c>
      <c r="F35" s="14" t="str">
        <f>IFERROR(INDEX('Power Ratings'!$B$5:$B$104,MATCH($B35,'Power Ratings'!$A$5:$A$104,0)),"")</f>
        <v/>
      </c>
      <c r="G35" s="11" t="str">
        <f>IF(OR($B35="",$E35=""),"",IFERROR($E35*INDEX('Power Ratings'!$N$5:$N$104,MATCH($B35,'Power Ratings'!$A$5:$A$104,0)),""))</f>
        <v/>
      </c>
      <c r="H35" s="11" t="str">
        <f>IF(OR($B35="",$E35=""),"",IFERROR($E35*INDEX('Power Ratings'!$O$5:$O$104,MATCH($B35,'Power Ratings'!$A$5:$A$104,0)),""))</f>
        <v/>
      </c>
      <c r="I35" s="11" t="str">
        <f>IF(OR($B35="",$E35=""),"",IFERROR($E35*INDEX('Power Ratings'!$P$5:$P$104,MATCH($B35,'Power Ratings'!$A$5:$A$104,0)),""))</f>
        <v/>
      </c>
      <c r="J35" s="11" t="str">
        <f>IF(OR($B35="",$E35=""),"",IFERROR($E35*INDEX('Power Ratings'!$Q$5:$Q$104,MATCH($B35,'Power Ratings'!$A$5:$A$104,0)),""))</f>
        <v/>
      </c>
      <c r="K35" s="11" t="str">
        <f>IF(OR($B35="",$E35=""),"",IFERROR($E35*INDEX('Power Ratings'!$R$5:$R$104,MATCH($B35,'Power Ratings'!$A$5:$A$104,0)),""))</f>
        <v/>
      </c>
      <c r="L35" s="14" t="str">
        <f t="shared" si="1"/>
        <v/>
      </c>
      <c r="M35" s="5"/>
    </row>
    <row r="36" spans="1:13">
      <c r="A36">
        <v>28</v>
      </c>
      <c r="B36" s="5"/>
      <c r="C36" s="8"/>
      <c r="D36" s="8"/>
      <c r="E36" s="13" t="str">
        <f t="shared" si="0"/>
        <v/>
      </c>
      <c r="F36" s="14" t="str">
        <f>IFERROR(INDEX('Power Ratings'!$B$5:$B$104,MATCH($B36,'Power Ratings'!$A$5:$A$104,0)),"")</f>
        <v/>
      </c>
      <c r="G36" s="11" t="str">
        <f>IF(OR($B36="",$E36=""),"",IFERROR($E36*INDEX('Power Ratings'!$N$5:$N$104,MATCH($B36,'Power Ratings'!$A$5:$A$104,0)),""))</f>
        <v/>
      </c>
      <c r="H36" s="11" t="str">
        <f>IF(OR($B36="",$E36=""),"",IFERROR($E36*INDEX('Power Ratings'!$O$5:$O$104,MATCH($B36,'Power Ratings'!$A$5:$A$104,0)),""))</f>
        <v/>
      </c>
      <c r="I36" s="11" t="str">
        <f>IF(OR($B36="",$E36=""),"",IFERROR($E36*INDEX('Power Ratings'!$P$5:$P$104,MATCH($B36,'Power Ratings'!$A$5:$A$104,0)),""))</f>
        <v/>
      </c>
      <c r="J36" s="11" t="str">
        <f>IF(OR($B36="",$E36=""),"",IFERROR($E36*INDEX('Power Ratings'!$Q$5:$Q$104,MATCH($B36,'Power Ratings'!$A$5:$A$104,0)),""))</f>
        <v/>
      </c>
      <c r="K36" s="11" t="str">
        <f>IF(OR($B36="",$E36=""),"",IFERROR($E36*INDEX('Power Ratings'!$R$5:$R$104,MATCH($B36,'Power Ratings'!$A$5:$A$104,0)),""))</f>
        <v/>
      </c>
      <c r="L36" s="14" t="str">
        <f t="shared" si="1"/>
        <v/>
      </c>
      <c r="M36" s="5"/>
    </row>
    <row r="37" spans="1:13">
      <c r="A37">
        <v>29</v>
      </c>
      <c r="B37" s="5"/>
      <c r="C37" s="8"/>
      <c r="D37" s="8"/>
      <c r="E37" s="13" t="str">
        <f t="shared" si="0"/>
        <v/>
      </c>
      <c r="F37" s="14" t="str">
        <f>IFERROR(INDEX('Power Ratings'!$B$5:$B$104,MATCH($B37,'Power Ratings'!$A$5:$A$104,0)),"")</f>
        <v/>
      </c>
      <c r="G37" s="11" t="str">
        <f>IF(OR($B37="",$E37=""),"",IFERROR($E37*INDEX('Power Ratings'!$N$5:$N$104,MATCH($B37,'Power Ratings'!$A$5:$A$104,0)),""))</f>
        <v/>
      </c>
      <c r="H37" s="11" t="str">
        <f>IF(OR($B37="",$E37=""),"",IFERROR($E37*INDEX('Power Ratings'!$O$5:$O$104,MATCH($B37,'Power Ratings'!$A$5:$A$104,0)),""))</f>
        <v/>
      </c>
      <c r="I37" s="11" t="str">
        <f>IF(OR($B37="",$E37=""),"",IFERROR($E37*INDEX('Power Ratings'!$P$5:$P$104,MATCH($B37,'Power Ratings'!$A$5:$A$104,0)),""))</f>
        <v/>
      </c>
      <c r="J37" s="11" t="str">
        <f>IF(OR($B37="",$E37=""),"",IFERROR($E37*INDEX('Power Ratings'!$Q$5:$Q$104,MATCH($B37,'Power Ratings'!$A$5:$A$104,0)),""))</f>
        <v/>
      </c>
      <c r="K37" s="11" t="str">
        <f>IF(OR($B37="",$E37=""),"",IFERROR($E37*INDEX('Power Ratings'!$R$5:$R$104,MATCH($B37,'Power Ratings'!$A$5:$A$104,0)),""))</f>
        <v/>
      </c>
      <c r="L37" s="14" t="str">
        <f t="shared" si="1"/>
        <v/>
      </c>
      <c r="M37" s="5"/>
    </row>
    <row r="38" spans="1:13">
      <c r="A38">
        <v>30</v>
      </c>
      <c r="B38" s="5"/>
      <c r="C38" s="8"/>
      <c r="D38" s="8"/>
      <c r="E38" s="13" t="str">
        <f t="shared" si="0"/>
        <v/>
      </c>
      <c r="F38" s="14" t="str">
        <f>IFERROR(INDEX('Power Ratings'!$B$5:$B$104,MATCH($B38,'Power Ratings'!$A$5:$A$104,0)),"")</f>
        <v/>
      </c>
      <c r="G38" s="11" t="str">
        <f>IF(OR($B38="",$E38=""),"",IFERROR($E38*INDEX('Power Ratings'!$N$5:$N$104,MATCH($B38,'Power Ratings'!$A$5:$A$104,0)),""))</f>
        <v/>
      </c>
      <c r="H38" s="11" t="str">
        <f>IF(OR($B38="",$E38=""),"",IFERROR($E38*INDEX('Power Ratings'!$O$5:$O$104,MATCH($B38,'Power Ratings'!$A$5:$A$104,0)),""))</f>
        <v/>
      </c>
      <c r="I38" s="11" t="str">
        <f>IF(OR($B38="",$E38=""),"",IFERROR($E38*INDEX('Power Ratings'!$P$5:$P$104,MATCH($B38,'Power Ratings'!$A$5:$A$104,0)),""))</f>
        <v/>
      </c>
      <c r="J38" s="11" t="str">
        <f>IF(OR($B38="",$E38=""),"",IFERROR($E38*INDEX('Power Ratings'!$Q$5:$Q$104,MATCH($B38,'Power Ratings'!$A$5:$A$104,0)),""))</f>
        <v/>
      </c>
      <c r="K38" s="11" t="str">
        <f>IF(OR($B38="",$E38=""),"",IFERROR($E38*INDEX('Power Ratings'!$R$5:$R$104,MATCH($B38,'Power Ratings'!$A$5:$A$104,0)),""))</f>
        <v/>
      </c>
      <c r="L38" s="14" t="str">
        <f t="shared" si="1"/>
        <v/>
      </c>
      <c r="M38" s="5"/>
    </row>
    <row r="39" spans="1:13">
      <c r="A39">
        <v>31</v>
      </c>
      <c r="B39" s="5"/>
      <c r="C39" s="8"/>
      <c r="D39" s="8"/>
      <c r="E39" s="13" t="str">
        <f t="shared" si="0"/>
        <v/>
      </c>
      <c r="F39" s="14" t="str">
        <f>IFERROR(INDEX('Power Ratings'!$B$5:$B$104,MATCH($B39,'Power Ratings'!$A$5:$A$104,0)),"")</f>
        <v/>
      </c>
      <c r="G39" s="11" t="str">
        <f>IF(OR($B39="",$E39=""),"",IFERROR($E39*INDEX('Power Ratings'!$N$5:$N$104,MATCH($B39,'Power Ratings'!$A$5:$A$104,0)),""))</f>
        <v/>
      </c>
      <c r="H39" s="11" t="str">
        <f>IF(OR($B39="",$E39=""),"",IFERROR($E39*INDEX('Power Ratings'!$O$5:$O$104,MATCH($B39,'Power Ratings'!$A$5:$A$104,0)),""))</f>
        <v/>
      </c>
      <c r="I39" s="11" t="str">
        <f>IF(OR($B39="",$E39=""),"",IFERROR($E39*INDEX('Power Ratings'!$P$5:$P$104,MATCH($B39,'Power Ratings'!$A$5:$A$104,0)),""))</f>
        <v/>
      </c>
      <c r="J39" s="11" t="str">
        <f>IF(OR($B39="",$E39=""),"",IFERROR($E39*INDEX('Power Ratings'!$Q$5:$Q$104,MATCH($B39,'Power Ratings'!$A$5:$A$104,0)),""))</f>
        <v/>
      </c>
      <c r="K39" s="11" t="str">
        <f>IF(OR($B39="",$E39=""),"",IFERROR($E39*INDEX('Power Ratings'!$R$5:$R$104,MATCH($B39,'Power Ratings'!$A$5:$A$104,0)),""))</f>
        <v/>
      </c>
      <c r="L39" s="14" t="str">
        <f t="shared" si="1"/>
        <v/>
      </c>
      <c r="M39" s="5"/>
    </row>
    <row r="40" spans="1:13">
      <c r="A40">
        <v>32</v>
      </c>
      <c r="B40" s="5"/>
      <c r="C40" s="8"/>
      <c r="D40" s="8"/>
      <c r="E40" s="13" t="str">
        <f t="shared" si="0"/>
        <v/>
      </c>
      <c r="F40" s="14" t="str">
        <f>IFERROR(INDEX('Power Ratings'!$B$5:$B$104,MATCH($B40,'Power Ratings'!$A$5:$A$104,0)),"")</f>
        <v/>
      </c>
      <c r="G40" s="11" t="str">
        <f>IF(OR($B40="",$E40=""),"",IFERROR($E40*INDEX('Power Ratings'!$N$5:$N$104,MATCH($B40,'Power Ratings'!$A$5:$A$104,0)),""))</f>
        <v/>
      </c>
      <c r="H40" s="11" t="str">
        <f>IF(OR($B40="",$E40=""),"",IFERROR($E40*INDEX('Power Ratings'!$O$5:$O$104,MATCH($B40,'Power Ratings'!$A$5:$A$104,0)),""))</f>
        <v/>
      </c>
      <c r="I40" s="11" t="str">
        <f>IF(OR($B40="",$E40=""),"",IFERROR($E40*INDEX('Power Ratings'!$P$5:$P$104,MATCH($B40,'Power Ratings'!$A$5:$A$104,0)),""))</f>
        <v/>
      </c>
      <c r="J40" s="11" t="str">
        <f>IF(OR($B40="",$E40=""),"",IFERROR($E40*INDEX('Power Ratings'!$Q$5:$Q$104,MATCH($B40,'Power Ratings'!$A$5:$A$104,0)),""))</f>
        <v/>
      </c>
      <c r="K40" s="11" t="str">
        <f>IF(OR($B40="",$E40=""),"",IFERROR($E40*INDEX('Power Ratings'!$R$5:$R$104,MATCH($B40,'Power Ratings'!$A$5:$A$104,0)),""))</f>
        <v/>
      </c>
      <c r="L40" s="14" t="str">
        <f t="shared" si="1"/>
        <v/>
      </c>
      <c r="M40" s="5"/>
    </row>
    <row r="43" spans="1:13" ht="15">
      <c r="A43" s="22" t="s">
        <v>42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30">
      <c r="A44" s="15" t="s">
        <v>43</v>
      </c>
      <c r="B44" s="15" t="s">
        <v>44</v>
      </c>
      <c r="C44" s="15" t="s">
        <v>45</v>
      </c>
      <c r="D44" s="15" t="s">
        <v>46</v>
      </c>
      <c r="E44" s="15" t="s">
        <v>47</v>
      </c>
      <c r="F44" s="15" t="s">
        <v>48</v>
      </c>
      <c r="G44" s="15" t="s">
        <v>49</v>
      </c>
      <c r="H44" s="15" t="s">
        <v>50</v>
      </c>
      <c r="J44" s="15" t="s">
        <v>51</v>
      </c>
      <c r="K44" s="15" t="s">
        <v>52</v>
      </c>
    </row>
    <row r="45" spans="1:13" ht="15">
      <c r="A45" s="16">
        <v>5</v>
      </c>
      <c r="B45" s="17">
        <f>SUMIFS($G$9:$G$40,$F$9:$F$40,$A45)</f>
        <v>20.8</v>
      </c>
      <c r="C45" s="17">
        <f>SUMIFS($H$9:$H$40,$F$9:$F$40,$A45)</f>
        <v>20.8</v>
      </c>
      <c r="D45" s="17">
        <f>SUMIFS($I$9:$I$40,$F$9:$F$40,$A45)</f>
        <v>19.2</v>
      </c>
      <c r="E45" s="17">
        <f>SUMIFS($J$9:$J$40,$F$9:$F$40,$A45)</f>
        <v>38.4</v>
      </c>
      <c r="F45" s="17">
        <f>SUMIFS($K$9:$K$40,$F$9:$F$40,$A45)</f>
        <v>38.4</v>
      </c>
      <c r="G45" s="17">
        <f>F45*(1+$B$4)</f>
        <v>46.08</v>
      </c>
      <c r="H45" s="18">
        <f>A45*G45</f>
        <v>230.39999999999998</v>
      </c>
      <c r="J45" s="1" t="s">
        <v>53</v>
      </c>
      <c r="K45" s="18">
        <f>SUM(L9:L40)</f>
        <v>192</v>
      </c>
    </row>
    <row r="46" spans="1:13" ht="15">
      <c r="A46" s="16">
        <v>12</v>
      </c>
      <c r="B46" s="17">
        <f>SUMIFS($G$9:$G$40,$F$9:$F$40,$A46)</f>
        <v>0</v>
      </c>
      <c r="C46" s="17">
        <f>SUMIFS($H$9:$H$40,$F$9:$F$40,$A46)</f>
        <v>0</v>
      </c>
      <c r="D46" s="17">
        <f>SUMIFS($I$9:$I$40,$F$9:$F$40,$A46)</f>
        <v>0</v>
      </c>
      <c r="E46" s="17">
        <f>SUMIFS($J$9:$J$40,$F$9:$F$40,$A46)</f>
        <v>0</v>
      </c>
      <c r="F46" s="17">
        <f>SUMIFS($K$9:$K$40,$F$9:$F$40,$A46)</f>
        <v>0</v>
      </c>
      <c r="G46" s="17">
        <f>F46*(1+$B$4)</f>
        <v>0</v>
      </c>
      <c r="H46" s="18">
        <f>A46*G46</f>
        <v>0</v>
      </c>
      <c r="J46" s="1" t="s">
        <v>54</v>
      </c>
      <c r="K46" s="18">
        <f>SUM(H45:H47)</f>
        <v>230.39999999999998</v>
      </c>
    </row>
    <row r="47" spans="1:13" ht="15">
      <c r="A47" s="16">
        <v>24</v>
      </c>
      <c r="B47" s="17">
        <f>SUMIFS($G$9:$G$40,$F$9:$F$40,$A47)</f>
        <v>0</v>
      </c>
      <c r="C47" s="17">
        <f>SUMIFS($H$9:$H$40,$F$9:$F$40,$A47)</f>
        <v>0</v>
      </c>
      <c r="D47" s="17">
        <f>SUMIFS($I$9:$I$40,$F$9:$F$40,$A47)</f>
        <v>0</v>
      </c>
      <c r="E47" s="17">
        <f>SUMIFS($J$9:$J$40,$F$9:$F$40,$A47)</f>
        <v>0</v>
      </c>
      <c r="F47" s="17">
        <f>SUMIFS($K$9:$K$40,$F$9:$F$40,$A47)</f>
        <v>0</v>
      </c>
      <c r="G47" s="17">
        <f>F47*(1+$B$4)</f>
        <v>0</v>
      </c>
      <c r="H47" s="18">
        <f>A47*G47</f>
        <v>0</v>
      </c>
      <c r="J47" s="1" t="s">
        <v>55</v>
      </c>
      <c r="K47" s="19">
        <f>$B$4</f>
        <v>0.2</v>
      </c>
    </row>
    <row r="49" spans="1:13">
      <c r="A49" s="21" t="s">
        <v>56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</sheetData>
  <mergeCells count="4">
    <mergeCell ref="A1:M1"/>
    <mergeCell ref="A7:M7"/>
    <mergeCell ref="A43:M43"/>
    <mergeCell ref="A49:M5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698FB1BF-E1E1-40DE-A3D0-1B5C393BC0FC}">
          <x14:formula1>
            <xm:f>'Power Ratings'!$A$5:$A$104</xm:f>
          </x14:formula1>
          <xm:sqref>B9:B40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 Ratings</vt:lpstr>
      <vt:lpstr>Device Template</vt:lpstr>
      <vt:lpstr>Instructions</vt:lpstr>
      <vt:lpstr>esp32s3 x16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Doone</cp:lastModifiedBy>
  <dcterms:modified xsi:type="dcterms:W3CDTF">2026-09-27T06:49:19Z</dcterms:modified>
</cp:coreProperties>
</file>